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dmin" sheetId="2" r:id="rId6"/>
    <sheet state="visible" name="Siswa" sheetId="3" r:id="rId7"/>
    <sheet state="visible" name="Tutor" sheetId="4" r:id="rId8"/>
    <sheet state="visible" name="Test Report" sheetId="5" r:id="rId9"/>
  </sheets>
  <definedNames/>
  <calcPr/>
</workbook>
</file>

<file path=xl/sharedStrings.xml><?xml version="1.0" encoding="utf-8"?>
<sst xmlns="http://schemas.openxmlformats.org/spreadsheetml/2006/main" count="1208" uniqueCount="537">
  <si>
    <t>TEST CASE</t>
  </si>
  <si>
    <t>Version:</t>
  </si>
  <si>
    <t>1.0</t>
  </si>
  <si>
    <t>Issue date:</t>
  </si>
  <si>
    <t>System Name：</t>
  </si>
  <si>
    <t>Project Name:</t>
  </si>
  <si>
    <t>LD INDONESIA</t>
  </si>
  <si>
    <t>Module Code：</t>
  </si>
  <si>
    <t>LD - Admin</t>
  </si>
  <si>
    <t>Project Code:</t>
  </si>
  <si>
    <t>LD - 2026</t>
  </si>
  <si>
    <t>Test requirement:</t>
  </si>
  <si>
    <t>Record of change:</t>
  </si>
  <si>
    <r>
      <rPr>
        <rFont val="Tahoma"/>
        <b/>
        <color theme="1"/>
        <sz val="10.0"/>
      </rPr>
      <t>System Name</t>
    </r>
    <r>
      <rPr>
        <rFont val="Tahoma"/>
        <b/>
        <color theme="1"/>
        <sz val="10.0"/>
      </rPr>
      <t>：</t>
    </r>
  </si>
  <si>
    <t>Pass</t>
  </si>
  <si>
    <t>Effective Date</t>
  </si>
  <si>
    <t>Sirasa</t>
  </si>
  <si>
    <t>Version</t>
  </si>
  <si>
    <t>Change location</t>
  </si>
  <si>
    <t>Change description</t>
  </si>
  <si>
    <t>Originator</t>
  </si>
  <si>
    <t>Reviewer/
Approver</t>
  </si>
  <si>
    <t>Reference</t>
  </si>
  <si>
    <r>
      <rPr>
        <rFont val="Tahoma"/>
        <b/>
        <color theme="1"/>
        <sz val="10.0"/>
      </rPr>
      <t>Module Code</t>
    </r>
    <r>
      <rPr>
        <rFont val="Tahoma"/>
        <b/>
        <color theme="1"/>
        <sz val="10.0"/>
      </rPr>
      <t>：</t>
    </r>
  </si>
  <si>
    <t>Sirasa - Auditor</t>
  </si>
  <si>
    <t>Pending</t>
  </si>
  <si>
    <t>Surabaya</t>
  </si>
  <si>
    <t>Initial Release</t>
  </si>
  <si>
    <t>Zeva Lorensia N</t>
  </si>
  <si>
    <t>-</t>
  </si>
  <si>
    <t>Fail</t>
  </si>
  <si>
    <t>N/A</t>
  </si>
  <si>
    <t>Number of test cases</t>
  </si>
  <si>
    <t>ID</t>
  </si>
  <si>
    <t>Test Case Description</t>
  </si>
  <si>
    <t>Test Case Procedure</t>
  </si>
  <si>
    <t>Test Data</t>
  </si>
  <si>
    <t>Expected Output</t>
  </si>
  <si>
    <t>Test date</t>
  </si>
  <si>
    <t>Result</t>
  </si>
  <si>
    <t>Note</t>
  </si>
  <si>
    <t>Screenshoot</t>
  </si>
  <si>
    <t>Number of test cases:</t>
  </si>
  <si>
    <t>1.Login</t>
  </si>
  <si>
    <t>TC1</t>
  </si>
  <si>
    <t>Lupa Password dengan email terdaftar</t>
  </si>
  <si>
    <t>1. Buka halaman login.
2. Klik Lupa Password.
3. Masukkan email terdaftar.
4. Masukkan Password baru &amp; Konfirmasi
5. Klik tombol Simpan Password Baru</t>
  </si>
  <si>
    <t>yoeladmin@gmail.com
pass:12345678</t>
  </si>
  <si>
    <t>1. Sistem menerima email dan melanjutkan proses reset password.</t>
  </si>
  <si>
    <t>TC2</t>
  </si>
  <si>
    <t>Lupa Password dengan email tidak terdaftar</t>
  </si>
  <si>
    <t>1. Buka halaman login.
2. Klik Lupa Password.
3. Masukkan email  tidak terdaftar.
4. Masukkan Password baru &amp; Konfirmasi
5. Klik tombol Simpan Password Baru</t>
  </si>
  <si>
    <t>tidakterdaftar@gmail.com
pass:12345678</t>
  </si>
  <si>
    <t>1. Sistem menampilkan peringatan bahwa email tidak ditemukan
2. Proses reset password tidak berhasil dan admin masih dihalaman Atur password baru.</t>
  </si>
  <si>
    <t>TC3</t>
  </si>
  <si>
    <t>Lupa Password dengan email kosong</t>
  </si>
  <si>
    <t>1. Buka halaman login.
2. Klik Lupa Password.
3. Kosongkan email.
4. Masukkan Password baru &amp; Konfirmasi
5. Klik tombol Simpan Password Baru</t>
  </si>
  <si>
    <t>Email: kosong
pass:12345678</t>
  </si>
  <si>
    <t>1.Sistem menampilkan validasi bahwa pastikan data reset valid .</t>
  </si>
  <si>
    <t>TC4</t>
  </si>
  <si>
    <t>Lupa Password dengan format email tidak valid</t>
  </si>
  <si>
    <t>1. Buka halaman login.
2. Klik Lupa Password.
3. Masukkan email dengan format tidak valid.
4. Masukkan Password baru &amp; Konfirmasi
5. Klik tombol Simpan Password Baru</t>
  </si>
  <si>
    <t>admingmail.com</t>
  </si>
  <si>
    <t>1. Sistem menampilkan validasi masukkan email yang valid.</t>
  </si>
  <si>
    <t>TC5</t>
  </si>
  <si>
    <t>Membuat password kurang dari 8 karakter</t>
  </si>
  <si>
    <t>siswacoba2@gmail.com
pass:12345678</t>
  </si>
  <si>
    <t>1. Buka halaman login.
2. Klik Lupa Password.
3. Masukkan email terdaftar.
4. Masukkan Password baru &amp; Konfirmasi dengan karakter kurang dari 8
5. Klik tombol Simpan Password Baru</t>
  </si>
  <si>
    <t>Password: 1234567</t>
  </si>
  <si>
    <t>Sistem menolak password dan menampilkan validasi bahwa password minimal 8 karakter.</t>
  </si>
  <si>
    <t>Pesan validasi baiknya diganti "password minimal 8" agar user paham</t>
  </si>
  <si>
    <t>Screenshot 2026-09-06 133600.png</t>
  </si>
  <si>
    <t>yoeltutor@gmail.com
pass:12345678</t>
  </si>
  <si>
    <t>siswagmail.com</t>
  </si>
  <si>
    <t>TC6</t>
  </si>
  <si>
    <t>Membuat password tepat 8 karakter</t>
  </si>
  <si>
    <t>1. Buka halaman login.
2. Klik Lupa Password.
3. Masukkan email terdaftar.
4. Masukkan Password baru &amp; Konfirmasi dengan 8 karakter 
5. Klik tombol Simpan Password Baru</t>
  </si>
  <si>
    <t>Password: 12345678</t>
  </si>
  <si>
    <t>TC7</t>
  </si>
  <si>
    <t>Membuat password lebih dari 8 karakter</t>
  </si>
  <si>
    <t>1. Buka halaman login.
2. Klik Lupa Password.
3. Masukkan email terdaftar.
4. Masukkan Password baru &amp; Konfirmasi dengan karakter lebih dari 8
5. Klik tombol Simpan Password Baru</t>
  </si>
  <si>
    <t>Password: Adminnn123</t>
  </si>
  <si>
    <t>TC8</t>
  </si>
  <si>
    <t>Membuat Password dengan field password  kosong</t>
  </si>
  <si>
    <t>1. Buka halaman login.
2. Klik Lupa Password.
3. Masukkan email terdaftar.
4. Kosongkan Password 
5. Isi Konfirmasi password
6. Klik tombol Simpan Password Baru</t>
  </si>
  <si>
    <t>Password: kosong</t>
  </si>
  <si>
    <t>TC9</t>
  </si>
  <si>
    <t>Membuat Password dengan field konfirmasi password  kosong</t>
  </si>
  <si>
    <t>1. Buka halaman login.
2. Klik Lupa Password.
3. Masukkan email terdaftar.
4. Isi Password 
5. Kosongkan Konfirmasi password
6. Klik tombol Simpan Password Baru</t>
  </si>
  <si>
    <t>Password: Adminnn123
Konfirmasi: kosong</t>
  </si>
  <si>
    <t>TC10</t>
  </si>
  <si>
    <t>Password dan konfirmasi password berbeda</t>
  </si>
  <si>
    <t>1. Buka halaman login.
2. Klik Lupa Password.
3. Masukkan email terdaftar.
4. Masukkan password baru.
5.. Masukkan konfirmasi password yang berbeda.
6. Klik tombol Simpan Password Baru</t>
  </si>
  <si>
    <t>Password: Adminnn123
Konfirmasi: Adminnn345</t>
  </si>
  <si>
    <t>Sistem menolak perubahan password dan menampilkan peringatan validasi bahwa pastikan data reset valid</t>
  </si>
  <si>
    <t xml:space="preserve">TC11 </t>
  </si>
  <si>
    <t>tutorgmail.com</t>
  </si>
  <si>
    <t>Login dengan Email dan Password valid</t>
  </si>
  <si>
    <t>1. Buka website LD Indonesia.
2. Pastikan halaman Landing Page berhasil ditampilkan.
3. Klik tombol Masuk.
4. Masukkan email yang valid.
5. Masukkan password yang valid.
6. Klik tombol Masuk.</t>
  </si>
  <si>
    <t>Email : admin@ldindonesia.test
Password : password</t>
  </si>
  <si>
    <t>1. Halaman Login berhasil ditampilkan.
2. Sistem menerima email dan password yang valid.
3. Sistem melakukan autentikasi pengguna.
4. Pengguna berhasil login.
5. Dashboard ditampilkan sesuai hak akses pengguna.</t>
  </si>
  <si>
    <t>TC12</t>
  </si>
  <si>
    <t>Login dengan Email dan Password tidak valid</t>
  </si>
  <si>
    <t>1. Buka website LD Indonesia.
2. Pastikan halaman Landing Page berhasil ditampilkan.
3. Klik tombol Masuk.
4. Masukkan email yang tidak valid.
5. Masukkan password tidak yang valid.
6. Klik tombol Masuk.</t>
  </si>
  <si>
    <t>Email : admin@.test
Password : admin</t>
  </si>
  <si>
    <t>Sistem menolak proses login.
Pesan kesalahan ditampilkan "Email atau password salah."
Pengguna tetap berada pada halaman Login.
Kolom login tetap dapat diedit untuk mencoba kembali.</t>
  </si>
  <si>
    <t>Screenshot 2026-09-06 113341.png</t>
  </si>
  <si>
    <t>Kalimat peringatan tidak konsisten</t>
  </si>
  <si>
    <t>Screenshot 2026-09-03 151305.png</t>
  </si>
  <si>
    <t>TC13</t>
  </si>
  <si>
    <t>Login dengan email yang tidak valid dan password yang valid</t>
  </si>
  <si>
    <t>1. Buka website LD Indonesia.
2. Pastikan halaman Landing Page berhasil ditampilkan.
3. Klik tombol Masuk.
4. Masukkan email yang tidak valid.
5. Masukkan password yang valid.
6. Klik tombol Masuk.</t>
  </si>
  <si>
    <t>Email :  admin@.test
Password : password</t>
  </si>
  <si>
    <t>Sistem menolak proses login.
Pesan kesalahan ditampilkan,"Masukkan alamat email yang valid."
Pengguna tetap berada pada halaman Login.
Kolom login tetap dapat diedit untuk mencoba kembali.</t>
  </si>
  <si>
    <t>TC14</t>
  </si>
  <si>
    <t>Login dengan email yang valid dan password yang tidak valid</t>
  </si>
  <si>
    <t>1. Buka website LD Indonesia.
2. Pastikan halaman Landing Page berhasil ditampilkan.
3. Klik tombol Masuk.
4. Masukkan email yang valid.
5. Masukkan password yang tidak valid.
6. Klik tombol Masuk.</t>
  </si>
  <si>
    <t>Email : admin@ldindonesia.test
Password : admin</t>
  </si>
  <si>
    <t>Sistem menolak proses login.
Pesan kesalahan ditampilkan,"Masukkan password yang valid."
Pengguna tetap berada pada halaman Login.
Kolom login tetap dapat diedit untuk mencoba kembali.</t>
  </si>
  <si>
    <t>Password: Siswaaa123</t>
  </si>
  <si>
    <t>Screenshot 2026-09-03 145116.png</t>
  </si>
  <si>
    <t>Password: Siswa123
Konfirmasi: kosong</t>
  </si>
  <si>
    <t>Password: Siswa123
Konfirmasi: Siswaa345</t>
  </si>
  <si>
    <t>TC15</t>
  </si>
  <si>
    <t>Login dengan email kosong</t>
  </si>
  <si>
    <t>1. Buka website LD Indonesia.
2. Pastikan halaman Landing Page berhasil ditampilkan.
3. Klik tombol Masuk.
4. Kosongkan email
5. Masukkan password yang valid.
6. Klik tombol Masuk.</t>
  </si>
  <si>
    <t>Email :  -
Password : password</t>
  </si>
  <si>
    <t>Sistem menolak proses login.
Pesan kesalahan ditampilkan,"Email wajib diisi."
Pengguna tetap berada pada halaman Login.
Kolom login tetap dapat diedit untuk mencoba kembali.</t>
  </si>
  <si>
    <t>TC16</t>
  </si>
  <si>
    <t>Login dengan password kosong</t>
  </si>
  <si>
    <t>1. Buka website LD Indonesia.
2. Pastikan halaman Landing Page berhasil ditampilkan.
3. Klik tombol Masuk.
4. Masukkan email yang valid.
5. Kosongkan password.
6. Klik tombol Masuk.</t>
  </si>
  <si>
    <t>Email : admin@ldindonesia.test
Password : -</t>
  </si>
  <si>
    <t>Sistem menolak proses login.
Pesan kesalahan ditampilkan,"Password wajib diisi."
Pengguna tetap berada pada halaman Login.
Kolom login tetap dapat diedit untuk mencoba kembali.</t>
  </si>
  <si>
    <t>TC17</t>
  </si>
  <si>
    <t>Login dengan email dan password kosong</t>
  </si>
  <si>
    <t>1. Buka website LD Indonesia.
2. Pastikan halaman Landing Page berhasil ditampilkan.
3. Klik tombol Masuk.
4. Kosongkan email.
5. Kosongkan password.
6. Klik tombol Masuk.</t>
  </si>
  <si>
    <t>Email : -
Password : -</t>
  </si>
  <si>
    <t>Sistem menolak proses login.
Pesan kesalahan ditampilkan,"Email dan Password wajib diisi."
Pengguna tetap berada pada halaman Login.
Kolom login tetap dapat diedit untuk mencoba kembali.</t>
  </si>
  <si>
    <t>Pesan kesalahannya masi "email wajib diisi"</t>
  </si>
  <si>
    <t>Screenshot 2026-09-03 151951.png</t>
  </si>
  <si>
    <t>Email : siswa@.test
Password : siswa</t>
  </si>
  <si>
    <t>Screenshot 2026-09-06 135838.png</t>
  </si>
  <si>
    <t xml:space="preserve">2. Dashboard </t>
  </si>
  <si>
    <t>TEST REPORT LD INDONESIA</t>
  </si>
  <si>
    <t>Email : yoeltutor@gmail.com
Password : 12345678</t>
  </si>
  <si>
    <t xml:space="preserve">TC18 </t>
  </si>
  <si>
    <t>Dashboard</t>
  </si>
  <si>
    <t>1. Login menggunakan akun Admin yang valid.</t>
  </si>
  <si>
    <t>Login Admin</t>
  </si>
  <si>
    <t>1. Halaman Dashboard berhasil ditampilkan.
2. URL mengarah ke /dashboard.</t>
  </si>
  <si>
    <t>Note:</t>
  </si>
  <si>
    <t>TC19</t>
  </si>
  <si>
    <t>Informasi Pengguna</t>
  </si>
  <si>
    <t xml:space="preserve">1. Login menggunakan akun Admin yang valid.
</t>
  </si>
  <si>
    <t>LD- Admin</t>
  </si>
  <si>
    <t>1. Halaman Dashboard berhasil ditampilkan.
2. Informasi pengguna ditampilkan di pojok kanan atas.
3. Nama pengguna ditampilkan dengan benar.
4. Role pengguna (Admin) ditampilkan dengan benar.</t>
  </si>
  <si>
    <t>Email : tutor@.test
Password : tutor</t>
  </si>
  <si>
    <t>TC20</t>
  </si>
  <si>
    <t>Card Statistik</t>
  </si>
  <si>
    <t>1. Halaman Dashboard berhasil ditampilkan.
2. Card Total Siswa ditampilkan.
3. Card Total Modul ditampilkan.
4. Card Perlu Penilaian ditampilkan.
5. Nilai pada setiap card sesuai dengan data yang tersedia.
6. Jika belum terdapat data, nilai yang ditampilkan adalah 0.</t>
  </si>
  <si>
    <t xml:space="preserve">TC21 </t>
  </si>
  <si>
    <t>Ringkasan Modul</t>
  </si>
  <si>
    <t>1. Halaman Dashboard berhasil ditampilkan.
2. Ringkasan Modul ditampilkan pada Dashboard.
3. Daftar kategori modul (Materi, Simulasi Hören, Simulasi Lesen, Simulasi Schreiben, dan Simulasi Sprechen) ditampilkan.
4.Jumlah pada setiap kategori ditampilkan sesuai data yang tersedia.
5. Jika belum terdapat data, jumlah yang ditampilkan adalah 0.</t>
  </si>
  <si>
    <t>TC22</t>
  </si>
  <si>
    <t>Daftar Perlu Dinilai</t>
  </si>
  <si>
    <t>Kalimat peringatan tidak konsisten
pakai yang "email atau password salah"</t>
  </si>
  <si>
    <t>1. Halaman Dashboard berhasil ditampilkan.
2. Panel Perlu Dinilai ditampilkan pada Dashboard.
3. Jika terdapat tugas yang belum dinilai, daftar tugas ditampilkan.
4. Jika tidak terdapat tugas yang belum dinilai, sistem menampilkan pesan "Tidak ada pengerjaan yang menunggu penilaian."</t>
  </si>
  <si>
    <t>Date</t>
  </si>
  <si>
    <t>TC23</t>
  </si>
  <si>
    <t>Lihat Semua Modul</t>
  </si>
  <si>
    <t>1. Login menggunakan akun Admin yang valid.
2. Klik tombol Lihat semua modul pada card ringkasan modul.</t>
  </si>
  <si>
    <t>1. Admin diarahkan ke halaman Modul Pembelajaran.
2. Halaman Modul Pembelajaran berhasil ditampilkan.</t>
  </si>
  <si>
    <t xml:space="preserve">3.  Modul Pembelajaran </t>
  </si>
  <si>
    <t>TC24</t>
  </si>
  <si>
    <t>Halaman Modul Pembelajaran</t>
  </si>
  <si>
    <t>1. Login menggunakan akun Admin yang valid.
2. Klik menu Modul Pembelajaran.</t>
  </si>
  <si>
    <t xml:space="preserve">1. Halaman Kelola Modul berhasil ditampilkan.
2. Daftar modul ditampilkan.
3. Jika belum terdapat data, sistem menampilkan pesan "Modul belum tersedia".
</t>
  </si>
  <si>
    <t>Email :  tutor@.test
Password : 12345678</t>
  </si>
  <si>
    <t>FORM TAMBAH MODUL</t>
  </si>
  <si>
    <t>TC25</t>
  </si>
  <si>
    <t>Tambah Modul Kategori Materi (Data Valid)</t>
  </si>
  <si>
    <t>1. Login menggunakan akun Admin yang valid.
2. Klik menu Modul Pembelajaran.
3. Klik Tambah Modul
4. Isi Judul Modul.
5. Pilih Level.
6. Pilih kategori Materi.
7. Isi Deskripsi.
8. Unggah file materi.
9. Klik Selanjutnya.
10.Tambahkan soal.
11. Isi pilihan jawaban.
12. Isi penjelasan jawaban (opsional)
13. Klik Simpan Semua Soal.</t>
  </si>
  <si>
    <t>Judul Modul : Einführung A1
Level : A1                                    
Kategori: Materi                               
Deskripsi:  Materi pengenalan bahasa Jerman tingkat A1 
File Materi : `Materi_A1_Pengenalan.pdf`                
Apa arti dari "Guten Morgen"?
Pilihan A :Selamat Pagi
Pilihan B :Selamat Siang
Pilihan C :Selamat Malam
Pilihan D :Sampai Jumpa
Jawaban Benar : A
Penjelasan : "Guten Morgen" digunakan untuk mengucapkan selamat pagi.</t>
  </si>
  <si>
    <t>Email : yoeltutor@gmail.com
Password : tutor</t>
  </si>
  <si>
    <t>1. Modul berhasil dibuat.
2. Pengguna diarahkan ke halaman Kelola modul
3. Data modul muncul dan tersimpan.</t>
  </si>
  <si>
    <t>No</t>
  </si>
  <si>
    <t>TC26</t>
  </si>
  <si>
    <t>Tambah Modul Kategori Simulasi Hoeren (Data Valid)</t>
  </si>
  <si>
    <t>Module code</t>
  </si>
  <si>
    <t>1. Login menggunakan akun Admin yang valid.
2. Klik menu Modul Pembelajaran.
3. Klik Tambah Modul
4. Isi Judul Modul.
5. Pilih Level.
6. Pilih kategori Simulasi Hoeren .
7. Isi Deskripsi.
8. Klik Selanjutnya.
9.Tambahkan soal. 
10. Upload Audio.
11. Isi pilihan jawaban.
12. Isi penjelasan jawaban (opsional)
13. Klik Simpan Semua Soal.</t>
  </si>
  <si>
    <t>Judul Modul:Begrüßung
Level: A2
Kategori: Simulasi Hören
Deskripsi: Simulasi latihan mendengarkan percakapan sederhana bahasa Jerman tingkat A1.
Pertanyaan : Berdasarkan audio, apa yang diucapkan saat menyapa di pagi hari?
Pilihan A  : Guten Morgen
Pilihan B  : Guten Abend
Pilihan C  : Gute Nacht
Pilihan D   : Auf Wiedersehen
Jawaban Benar : A
Penjelasan : Pada audio terdengar ucapan "Guten Morgen" sebagai salam di pagi hari.</t>
  </si>
  <si>
    <t>File materi Audio keterangan "Tidak Ada"</t>
  </si>
  <si>
    <t>Screenshot 2026-09-03 173647.png</t>
  </si>
  <si>
    <t>Number of  test cases</t>
  </si>
  <si>
    <t>TC27</t>
  </si>
  <si>
    <t>Tambah Modul Kategori Simulasi Lesen(Data Valid)</t>
  </si>
  <si>
    <t>1. Login menggunakan akun Admin yang valid.
2. Klik menu Modul Pembelajaran.
3. Klik Tambah Modul
4. Isi Judul Modul.
5. Pilih Level.
6. Pilih kategori Simulasi Lesen .
7. Isi Deskripsi.
8. Klik Selanjutnya.
9.Tambahkan soal. 
11. Isi pilihan jawaban.
12. Isi penjelasan jawaban (opsional)
13. Klik Simpan Semua Soal.</t>
  </si>
  <si>
    <t>Judul Modul: Familie
Level : B1
Kategori : Simulasi Lesen
Deskripsi : Simulasi latihan membaca teks sederhana tentang keluarga.
Hallo! Ich heiße Anna. Ich wohne mit meiner Familie in Berlin. Ich habe einen Bruder und eine Schwester. Wir spielen jeden Sonntag zusammen im Park.
Pertanyaan : Mit wem wohnt Anna?
Pilihan A  : Mit ihrer Familie
Pilihan B  : Mit ihrer Freundin
Pilihan C  : Allein
Pilihan D  : Mit ihren Großeltern
Jawaban Benar  :A
Penjelasan : Pada teks tertulis "Ich wohne mit meiner Familie in Berlin."</t>
  </si>
  <si>
    <t>TC28</t>
  </si>
  <si>
    <t>Tambah Modul Kategori Simulasi Schreiben(Data Valid)</t>
  </si>
  <si>
    <t>1. Login menggunakan akun Admin yang valid.
2. Klik menu Modul Pembelajaran.
3. Klik Tambah Modul
4. Isi Judul Modul.
5. Pilih Level.
6. Pilih kategori Simulasi Schreiben.
7. Isi Deskripsi.
8. Klik Selanjutnya.
9.Tambahkan soal. 
12. Isi penjelasan jawaban (opsional)
13. Klik Simpan Semua Soal.</t>
  </si>
  <si>
    <t>Judul Modul : Perkenalan Diri
Level : B2
Kategori: Simulasi Schreiben
Deskripsi: Simulasi latihan menulis perkenalan diri dalam bahasa Jerman.
Instruksi : Schreiben Sie eine kurze Vorstellung über sich selbst (30-50 Wörter).</t>
  </si>
  <si>
    <t>TC29</t>
  </si>
  <si>
    <t>Tambah Modul Kategori Simulasi Sprechen (Data Valid)</t>
  </si>
  <si>
    <t>1. Login menggunakan akun Admin yang valid.
2. Klik menu Modul Pembelajaran.
3. Klik Tambah Modul
4. Isi Judul Modul.
5. Pilih Level.
6. Pilih kategori Simulasi Sprechen.
7. Isi Deskripsi.
8. Klik Selanjutnya.
9.Tambahkan soal. 
12. Isi penjelasan jawaban (opsional)
13. Klik Simpan Semua Soal.</t>
  </si>
  <si>
    <t>Judul Modul : Hobbys
Level  : A1
Kategori :Simulasi Sprechen
Deskripsi : Simulasi latihan berbicara mengenai hobi dalam bahasa Jerman
Topik Sprechen : Erzählen Sie über Ihre Hobbys. (Ceritakan tentang hobi Anda.) Sampaikan jawaban selama 1-2 menit menggunakan bahasa Jerman.</t>
  </si>
  <si>
    <t>TC30</t>
  </si>
  <si>
    <t>Form Tambah Modul dengan Seluruh Field Wajib Kosong</t>
  </si>
  <si>
    <t>1.Login menggunakan akun Admin yang valid.
2.Klik menu Modul Pembelajaran.
3.Klik tombol Tambah Modul.
4.Biarkan seluruh field wajib kosong.
5. Klik Selanjutnya.</t>
  </si>
  <si>
    <t>1.Sistem menampilkan pesan validasi pada setiap field yang wajib diisi.
2. Admin tidak dapat melanjutkan ke halaman pengisian konten modul.
3. Admin tetap berada pada halaman Tambah Modul.</t>
  </si>
  <si>
    <t xml:space="preserve">Untuk pesan deskripsinya belum muncul </t>
  </si>
  <si>
    <t>Screenshot 2026-09-03 203828.png</t>
  </si>
  <si>
    <t>1. Login menggunakan akun Siswa yang terdaftar.</t>
  </si>
  <si>
    <t>Login Siswa</t>
  </si>
  <si>
    <t>TC31</t>
  </si>
  <si>
    <t>Form Tambah Modul dengan Judul Modul Kosong</t>
  </si>
  <si>
    <t>1. Login menggunakan akun Admin yang valid.
2. Klik menu Modul Pembelajaran.
3. Klik Tambah Modul
4. Kosongkan Judul Modul.
5. Pilih Level.
6. Pilih kategori Materi.
7. Isi Deskripsi.
8. Unggah file materi.
9. Klik Selanjutnya.</t>
  </si>
  <si>
    <t>Judul Modul: -
Level: A1
Kategori: Materi
Deskripsi  : Materi pengenalan kosakata dan salam dalam bahasa Jerman.</t>
  </si>
  <si>
    <t>1. Sistem menampilkan pesan bahwa Judul Modul wajib diisi.
2. Admin tidak dapat melanjutkan ke halaman pengisian konten modul.
3. Admin tetap berada pada halaman Tambah Modul.</t>
  </si>
  <si>
    <t>TC32</t>
  </si>
  <si>
    <t>Form Tambah Modul dengan Level Kosong</t>
  </si>
  <si>
    <t>1. Login menggunakan akun Admin yang valid.
2. Klik menu Modul Pembelajaran.
3. Klik Tambah Modul
4. Isi Judul Modul.
5. Kosongkan Level.
6. Pilih kategori Materi.
7. Isi Deskripsi.
8. Unggah file materi.
9. Klik Selanjutnya.</t>
  </si>
  <si>
    <t>Judul Modul: Einführung
Level: -
Kategori: Materi
Deskripsi : Materi pengenalan kosakata dan salam dalam bahasa Jerman.</t>
  </si>
  <si>
    <t>1. Sistem menampilkan pesan "Pilih level modul"
2. Admin tidak dapat melanjutkan ke halaman pengisian konten modul.
3. Admin tetap berada pada halaman Tambah Modul.</t>
  </si>
  <si>
    <t>TC33</t>
  </si>
  <si>
    <t>Form Tambah Modul dengan Kategori Kosong</t>
  </si>
  <si>
    <t>1. Login menggunakan akun Admin yang valid.
2. Klik menu Modul Pembelajaran.
3. Klik Tambah Modul
4. Isi Judul Modul.
5. Pilih Level.
6. Kosongkan kategori.
7. Isi Deskripsi.
8. Klik Selanjutnya.</t>
  </si>
  <si>
    <t>Judul Modul: Einführung
Level: A1
Kategori: -
Deskripsi : Materi pengenalan kosakata dan salam dalam bahasa Jerman.</t>
  </si>
  <si>
    <t xml:space="preserve">1. Login menggunakan akun Siswa yang Terdaftar.
</t>
  </si>
  <si>
    <t>1. Sistem menampilkan pesan "Pilih kategori modul"
2. Admin tidak dapat melanjutkan ke halaman pengisian konten modul.
3. Admin tetap berada pada halaman Tambah Modul.</t>
  </si>
  <si>
    <t>1. Halaman Dashboard berhasil ditampilkan.
2. Informasi pengguna ditampilkan di pojok kanan atas.
3. Nama pengguna ditampilkan dengan benar.
4. Role pengguna (Siswa) ditampilkan dengan benar.</t>
  </si>
  <si>
    <t>Sub total</t>
  </si>
  <si>
    <t>TC34</t>
  </si>
  <si>
    <t>Form Tambah Modul dengan Deskripsi Kosong</t>
  </si>
  <si>
    <t>1. Login menggunakan akun Admin yang valid.
2. Klik menu Modul Pembelajaran.
3. Klik Tambah Modul
4. Isi Judul Modul.
5. Pilih Level.
6. Pilih kategori Materi.
7. Kosongkan Deskripsi.
8. Unggah File Materi
9. Klik Selanjutnya.</t>
  </si>
  <si>
    <t>Judul Modul: Einführung
Level: A1
Kategori: Materi 
Deskripsi : -</t>
  </si>
  <si>
    <t>1. Sistem menampilkan pesan "Deskripsi wajib diisi"
2. Admin tidak dapat melanjutkan ke halaman pengisian konten modul.
3. Admin tetap berada pada halaman Tambah Modul.</t>
  </si>
  <si>
    <t>Screenshot 2026-09-03 212640.png</t>
  </si>
  <si>
    <t>1. Login menggunakan akun Siswa yang Terdaftar.
2. Klik tombol Lihat semua modul pada card modul yang perlu dikerjakan.</t>
  </si>
  <si>
    <t>1. Siswa diarahkan ke halaman Modul Pembelajaran.
2. Halaman Modul Pembelajaran berhasil ditampilkan.</t>
  </si>
  <si>
    <t>TC21</t>
  </si>
  <si>
    <t>Aktivitas terakhir</t>
  </si>
  <si>
    <t>1. Login menggunakan akun Siswa yang Terdaftar.
2. Klik tombol Lihat semua hasill pada card aktivitas terakhir.</t>
  </si>
  <si>
    <t>1. Siswa diarahkan ke halaman performa siswa .
2. Halaman Performa siswa berhasil ditampilkan.</t>
  </si>
  <si>
    <t>TC35</t>
  </si>
  <si>
    <t>Form Tambah Modul Kategori Materi dengan File Kosong</t>
  </si>
  <si>
    <t>1. Login menggunakan akun Admin yang valid.
2. Klik menu Modul Pembelajaran.
3. Klik Tambah Modul
4. Isi Judul Modul.
5. Pilih Level.
6. Pilih kategori Materi.
7. Isi Deskripsi.
8. Kosongkan File Materi
9. Klik Selanjutnya.</t>
  </si>
  <si>
    <t>Judul Modul: Einführung
Level: A1
Kategori: Materi 
Deskripsi : Materi pengenalan kosakata dan salam dalam bahasa Jerman.</t>
  </si>
  <si>
    <t>1. Sistem menampilkan pesan "File wajib diunggah "
2. Admin tidak dapat melanjutkan ke halaman pengisian konten modul.
3. Admin tetap berada pada halaman Tambah Modul.</t>
  </si>
  <si>
    <t>Screenshot 2026-09-03 212427.png</t>
  </si>
  <si>
    <t>1. Login menggunakan akun Siswa yang Terdaftar.
2. Klik menu Modul Pembelajaran.</t>
  </si>
  <si>
    <t>siswacoba1@gmail.com
pass:12345678</t>
  </si>
  <si>
    <t xml:space="preserve">
1. Halaman Kelola Modul berhasil ditampilkan.
2. Daftar modul ditampilkan.
3. Jika belum terdapat data, sistem menampilkan pesan "Modul belum tersedia".
</t>
  </si>
  <si>
    <t>Untuk siswa baru dan ada modul pembelajaran.  Didashboard belum dikerjakan, Namun di menu modul Pembelajaran modul tersebut sudah selesai, dan tidak bisa dilihat 
Untuk Siswa Baru dan blm ada modul pembelajaran. Didashboard tulisannya " semua modul sudah dikerjakan"</t>
  </si>
  <si>
    <t>Screenshot 2026-09-06 112314.png
Screenshot 2026-09-06 112309.png</t>
  </si>
  <si>
    <t>KONTEN MODUL</t>
  </si>
  <si>
    <t>TC36</t>
  </si>
  <si>
    <t>Menambahkan Lebih dari Satu Soal pada Modul Materi</t>
  </si>
  <si>
    <t xml:space="preserve">1. Login menggunakan akun Admin yang valid.
2. Klik menu Modul Pembelajaran.
3. Klik Tambah Modul
4. Isi Judul Modul.
5. Pilih Level.
6. Pilih kategori Materi.
7. Isi Deskripsi.
8. Upload File Materi
9. Klik Selanjutnya.
10. Tambahkan soal  (lebih dari 1 ).
11. Klik simpan semua soal. </t>
  </si>
  <si>
    <t xml:space="preserve">
Apa arti dari "Guten Morgen"?
Pilihan A :Selamat Pagi
Pilihan B :Selamat Siang
Pilihan C :Selamat Malam
Pilihan D :Sampai Jumpa
Jawaban Benar : A
Penjelasan : "Guten Morgen" digunakan untuk mengucapkan selamat pagi.</t>
  </si>
  <si>
    <t>LD- Siswa</t>
  </si>
  <si>
    <t>1.Soal baru berhasil ditambahkan setiap kali tombol + Tambah Soal diklik.
2.Seluruh soal berhasil disimpan.
3. Jumlah soal sesuai dengan yang ditambahkan.</t>
  </si>
  <si>
    <t>TC37</t>
  </si>
  <si>
    <t>Tambah Soal dengan Pertanyaan Kosong</t>
  </si>
  <si>
    <t xml:space="preserve">1. Login menggunakan akun Admin yang valid.
2. Klik menu Modul Pembelajaran.
3. Klik Tambah Modul
4. Isi Judul Modul.
5. Pilih Level.
6. Pilih kategori Materi.
7. Isi Deskripsi.
8. Upload File Materi
9. Klik Selanjutnya.
10. Kosongkan soal.
11. Klik simpan semua soal. </t>
  </si>
  <si>
    <t>Pertanyaan (Kosong)
Pilihan A :Selamat Pagi
Pilihan B :Selamat Siang
Pilihan C :Selamat Malam
Pilihan D :Sampai Jumpa
Jawaban Benar : A</t>
  </si>
  <si>
    <t>1. Soal tidak berhasil disimpan.
2. Sistem menampilkan pesan bahwa Pertanyaan wajib diisi.
3. Pengguna tetap berada pada halaman tambah soal.</t>
  </si>
  <si>
    <t>TC38</t>
  </si>
  <si>
    <t>Tambah Soal dengan Pilihan Jawaban Tidak Lengkap
/ Kosong</t>
  </si>
  <si>
    <t xml:space="preserve">1. Login menggunakan akun Admin yang valid.
2. Klik menu Modul Pembelajaran.
3. Klik Tambah Modul
4. Isi Judul Modul.
5. Pilih Level.
6. Pilih kategori Materi.
7. Isi Deskripsi.
8. Upload File Materi
9. Klik Selanjutnya.
10. Tambahkan soal.
11. Kosongkan Opsi Pilihan
11. Klik simpan semua soal. </t>
  </si>
  <si>
    <t>Pertanyaan Apa arti "Guten Morgen"?
Pilihan A  :Selamat Pagi
Pilihan B  :Selamat Siang
Pilihan C  :(Kosong)
Pilihan D  :(Kosong)
Jawaban Benar        A</t>
  </si>
  <si>
    <t>1. Soal tidak berhasil disimpan.
2. Sistem menampilkan pesan "Opsi x pada soal nomor x belum diisi".
3. Pengguna tetap berada pada halaman tambah soal.</t>
  </si>
  <si>
    <t>TC39</t>
  </si>
  <si>
    <t>Melihat Detail Modul</t>
  </si>
  <si>
    <t>1. Login menggunakan akun Admin yang valid.
2. Klik menu Modul Pembelajaran.
3. Klik ikon Lihat pada salah satu modul.</t>
  </si>
  <si>
    <t>Modul
Einführung A1</t>
  </si>
  <si>
    <t>1.Sistem menampilkan halaman detail modul.
2. Informasi modul, materi, dan soal ditampilkan sesuai data yang tersimpan.</t>
  </si>
  <si>
    <t>Tombol Kembali masih menuju form ,
File PDF kosong apakah tidk bs muncul filenya ?</t>
  </si>
  <si>
    <t>Pencarian Modul</t>
  </si>
  <si>
    <t>TC40</t>
  </si>
  <si>
    <t>Edit Modul</t>
  </si>
  <si>
    <t>1. Login menggunakan akun Siswa yang Terdaftar.
2. Klik menu Modul Pembelajaran.
3. Masukkan kata kunci pada kolom pencarian.
4. Klik tombol Cari.</t>
  </si>
  <si>
    <t>Login menggunakan akun Admin yang valid.
Klik menu Modul Pembelajaran.
Klik ikon Edit pada salah satu modul.
Ubah data modul.
Klik tombol Simpan.</t>
  </si>
  <si>
    <t>Nama Modul
KONJUGASI</t>
  </si>
  <si>
    <t>Judul Modul: Einführung A1 &gt; Einführung A1 Dasar
Deskripsi: Materi pengenalan bahasa Jerman &gt; Materi pengenalan kosakata bahasa Jerman tingkat A1.</t>
  </si>
  <si>
    <t>1. Sistem menampilkan modul yang sesuai dengan kata kunci</t>
  </si>
  <si>
    <t>1. Sistem berhasil menyimpan perubahan modul.
2. Data modul pada daftar modul diperbarui sesuai perubahan.</t>
  </si>
  <si>
    <t>TC41</t>
  </si>
  <si>
    <t>Hapus Modul</t>
  </si>
  <si>
    <t>1.Login menggunakan akun Admin yang valid.
2.Klik menu Modul Pembelajaran.
3.Klik ikon Hapus pada salah satu modul.
4. Klik tombol Konfirmasi.</t>
  </si>
  <si>
    <t>1.Sistem menampilkan pesan berhasil menghapus modul.
2.Modul tidak lagi ditampilkan pada daftar modul.</t>
  </si>
  <si>
    <t>TC42</t>
  </si>
  <si>
    <t>Pencarian Modul Tidak Ditemukan</t>
  </si>
  <si>
    <t>Rilis Modul</t>
  </si>
  <si>
    <t>1. Login menggunakan akun Admin yang valid.
2. Klik menu Modul Pembelajaran.
3. Cari modul yang belum dirilis (ikon mata tertutup).
4. Klik ikon Rilis (ikon mata)</t>
  </si>
  <si>
    <t>Nama Modul
ABCXYZ</t>
  </si>
  <si>
    <t>1. Status rilis modul berhasil diperbarui.
2. Ikon Rilis berubah dari mata tertutup menjadi mata terbuka.
3. Modul tidak lagi ditampilkan pada halaman siswa.</t>
  </si>
  <si>
    <t>1. Sistem menampilkan bahwa data tidak ditemukan.</t>
  </si>
  <si>
    <t>TC43</t>
  </si>
  <si>
    <t>Batalkan Rilis Modul</t>
  </si>
  <si>
    <t>1. Login menggunakan akun Admin yang valid.
2. Klik menu Modul Pembelajaran.
3. Cari modul yang sudah dirilis (ikon mata terbuka).
4. Klik ikon Rilis (ikon mata).</t>
  </si>
  <si>
    <t>1. Status rilis modul berhasil diperbarui.
2. Ikon Rilis berubah dari mata terbuka menjadi mata tertutup.
3. Modul tidak lagi ditampilkan pada halaman siswa.</t>
  </si>
  <si>
    <t>TC44</t>
  </si>
  <si>
    <t>Filter Level</t>
  </si>
  <si>
    <t>1. Login menggunakan akun Siswa yang Terdaftar.
2. Klik menu Modul Pembelajaran.
3. Pilih Level.</t>
  </si>
  <si>
    <t>1. Login menggunakan akun Admin yang valid.
2. Klik menu Modul Pembelajaran.
3. Masukkan kata kunci pada kolom pencarian.
4. Klik tombol Cari.</t>
  </si>
  <si>
    <t>Level
A1</t>
  </si>
  <si>
    <t>Kata Kunci : Einführung</t>
  </si>
  <si>
    <t>1. Sistem hanya menampilkan modul Level A1.</t>
  </si>
  <si>
    <t>1. Sistem menampilkan daftar modul yang sesuai dengan kata kunci pencarian.</t>
  </si>
  <si>
    <t>TC45</t>
  </si>
  <si>
    <t>Pencarian Modul dengan Kata Kunci yang Tidak Ditemukan</t>
  </si>
  <si>
    <t>Kata Kunci : XYZ123</t>
  </si>
  <si>
    <t>1. Sistem menampilkan informasi bahwa data modul tidak tersedia.
2. Tidak ada data modul yang ditampilkan pada daftar hasil pencarian.</t>
  </si>
  <si>
    <t>Filter Kategori</t>
  </si>
  <si>
    <t>TC46</t>
  </si>
  <si>
    <t>1. Login menggunakan akun Siswa yang Terdaftar.
2. Klik menu Modul Pembelajaran.
3 Pilih kategori.</t>
  </si>
  <si>
    <t>Filter Modul Berdasarkan Level</t>
  </si>
  <si>
    <t>Kategori
Materi</t>
  </si>
  <si>
    <t>1. Login menggunakan akun Admin yang valid.
2. Klik menu Modul Pembelajaran.
3. Pilih level pada filter.</t>
  </si>
  <si>
    <t>1. Sistem hanya menampilkan modul kategori Materi.</t>
  </si>
  <si>
    <t>1. Sistem menampilkan daftar modul dengan level A1.
Modul dengan level selain A1 tidak ditampilkan.</t>
  </si>
  <si>
    <t>4.  PERFORMA SISWA</t>
  </si>
  <si>
    <t>TC47</t>
  </si>
  <si>
    <t>Mengerjakan Modul Pembelajaran</t>
  </si>
  <si>
    <t>Halaman Performa SIswa</t>
  </si>
  <si>
    <t>1. Login menggunakan akun Admin yang valid.
2. Klik menu Performa Siswa</t>
  </si>
  <si>
    <t>1. Login menggunakan akun Siswa yang Terdaftar.
2. Klik menu Modul Pembelajaran.
3. Pilih salah satu modul.
4. Klik tombol Mulai.</t>
  </si>
  <si>
    <t>Modul
KONJUGASI</t>
  </si>
  <si>
    <t xml:space="preserve">1. Halaman Kelola Modul berhasil ditampilkan.
2. Daftar Perfoma siswa ditampilkan.
3. Jika belum terdapat data, sistem menampilkan pesan "Belum ada data siswa".
</t>
  </si>
  <si>
    <t>1. Sistem membuka halaman modul.
2. Sistem menampilkan materi pembelajaran.
3. Sistem menampilkan daftar soal.
4. Sistem menampilkan nomor soal.
5. Sistem menampilkan pilihan jawaban.</t>
  </si>
  <si>
    <t>TC48</t>
  </si>
  <si>
    <t>Detail Performa Siswa</t>
  </si>
  <si>
    <t>1. Login menggunakan akun Admin yang valid.
2. Klik menu Performa Siswa.
3. Klik ikon Lihat pada salah satu siswa.</t>
  </si>
  <si>
    <t>Siswa A1</t>
  </si>
  <si>
    <t>1. Sistem menampilkan halaman Detail Siswa.
2. Sistem menampilkan informasi profil siswa.
3. Sistem menampilkan ringkasan nilai setiap kategori.
4. Sistem menampilkan riwayat aktivitas siswa.</t>
  </si>
  <si>
    <t>Menjawab Soal</t>
  </si>
  <si>
    <t>1. Login menggunakan akun Siswa yang Terdaftar.
2. Klik menu Modul Pembelajaran.
3. Pilih salah satu modul.
4. Klik tombol Mulai.
5. Klik selanjutnya untuk ke soal
6. Jawab soal.</t>
  </si>
  <si>
    <t>TC49</t>
  </si>
  <si>
    <t>Detail Hasil Pengerjaan Siswa</t>
  </si>
  <si>
    <t>Jawaban
Opsi B</t>
  </si>
  <si>
    <t>1. Jawaban tersimpan.
2. Nomor soal berubah menjadi Sudah Dijawab.</t>
  </si>
  <si>
    <t>1. Login menggunakan akun Admin yang valid.
2. Klik menu Performa Siswa.
3. Klik ikon Lihat pada salah satu siswa.
4. Klik tombol Lihat pada salah satu riwayat aktivitas.</t>
  </si>
  <si>
    <t>Konjugasi</t>
  </si>
  <si>
    <t>1. Sistem menampilkan halaman detail hasil pengerjaan.</t>
  </si>
  <si>
    <t>TC50</t>
  </si>
  <si>
    <t>Pencarian Performa Siswa</t>
  </si>
  <si>
    <t>1. Login menggunakan akun Admin yang valid.
2. Klik menu Performa Siswa.
3. Masukkan nama siswa pada kolom pencarian.</t>
  </si>
  <si>
    <t>wawa</t>
  </si>
  <si>
    <t>1. Sistem menampilkan data siswa yang sesuai dengan kata kunci pencarian.</t>
  </si>
  <si>
    <t>Berpindah Nomor Soal</t>
  </si>
  <si>
    <t>TC51</t>
  </si>
  <si>
    <t>1. Login menggunakan akun Siswa yang Terdaftar.
2. Klik menu Modul Pembelajaran.
3. Pilih salah satu modul.
4. Klik tombol Mulai.
5. Klik selanjutnya untuk ke soal
6. Klik nomor soal lain.</t>
  </si>
  <si>
    <t>Pencarian Performa Siswa Tidak Ditemukan</t>
  </si>
  <si>
    <t>Soal no 1</t>
  </si>
  <si>
    <t>1. Login menggunakan akun Admin yang valid.
2. Klik menu Performa Siswa.
3. Masukkan nama siswa yang tidak terdaftar.</t>
  </si>
  <si>
    <t>1. Sistem menampilkan soal yang dipilih.</t>
  </si>
  <si>
    <t>ABC123XYZ</t>
  </si>
  <si>
    <t>1. Sistem menampilkan informasi bahwa data siswa tidak ditemukan.</t>
  </si>
  <si>
    <t>masi menunjukan data ada walaupun tidak muncul  "Menampilkan
1–2 dari 2 siswa"</t>
  </si>
  <si>
    <t>Screenshot 2026-09-06 010418.png</t>
  </si>
  <si>
    <t>Tombol Selanjutnya</t>
  </si>
  <si>
    <t>1. Login menggunakan akun Siswa yang Terdaftar.
2. Klik menu Modul Pembelajaran.
3. Pilih salah satu modul.
4. Klik tombol Mulai.
5. Klik selanjutnya untuk ke soal
6. Jawab soal.
7. Klik tombol Selanjutnya.</t>
  </si>
  <si>
    <t>1. Sistem menampilkan soal Selanjutnya.</t>
  </si>
  <si>
    <t>LD- Tutor</t>
  </si>
  <si>
    <t>Tombol Sebelumnya</t>
  </si>
  <si>
    <t>1. Login menggunakan akun Siswa yang Terdaftar.
2. Klik menu Modul Pembelajaran.
3. Pilih salah satu modul.
4. Klik tombol Mulai.
5. Klik selanjutnya untuk ke soal
6. Jawab soal.
7. Klik tombol Sebelumnya.</t>
  </si>
  <si>
    <t>Soal no 2</t>
  </si>
  <si>
    <t>1. Sistem menampilkan soal sebelumnya.</t>
  </si>
  <si>
    <t>TC52</t>
  </si>
  <si>
    <t>Filter Berdasarkan Level</t>
  </si>
  <si>
    <t>1. Login menggunakan akun Admin yang valid.
2. Klik menu Performa Siswa.
3. Pilih level pada filter.</t>
  </si>
  <si>
    <t>A1</t>
  </si>
  <si>
    <t>1. Sistem hanya menampilkan siswa dengan level yang dipilih.</t>
  </si>
  <si>
    <t>Menandai Soal</t>
  </si>
  <si>
    <t>TC53</t>
  </si>
  <si>
    <t>Ekspor Data Performa Siswa ke Excel</t>
  </si>
  <si>
    <t>1. Login menggunakan akun Siswa yang Terdaftar.
2. Klik menu Modul Pembelajaran.
3. Pilih salah satu modul.
4. Klik tombol Mulai.
5. Klik selanjutnya untuk ke soal
6. Klik tombol Ditandai.</t>
  </si>
  <si>
    <t>1. Login menggunakan akun Admin yang valid.
2. Klik menu Performa Siswa.
3. Klik tombol Ekspor Excel.</t>
  </si>
  <si>
    <t>Excel (.xlsx)</t>
  </si>
  <si>
    <t>Status soal berubah menjadi Ditandai.
Nomor soal berubah sesuai indikator.</t>
  </si>
  <si>
    <t>1. Sistem berhasil mengekspor data performa seluruh siswa ke file Excel.
2. File Excel berhasil diunduh.</t>
  </si>
  <si>
    <t>TC54</t>
  </si>
  <si>
    <t>Filter Riwayat Aktivitas Siswa Berdasarkan Kategori</t>
  </si>
  <si>
    <t>1. Login menggunakan akun Admin yang valid.
2. Klik menu Performa Siswa.
3. Klik ikon Lihat pada salah satu siswa.
4.Pilih kategori pada filter riwayat aktivitas.</t>
  </si>
  <si>
    <t>Materi</t>
  </si>
  <si>
    <t>Membatalkan Tanda Soal</t>
  </si>
  <si>
    <t>1. Sistem menampilkan riwayat aktivitas sesuai kategori yang dipilih.</t>
  </si>
  <si>
    <t>1. Login menggunakan akun Siswa yang Terdaftar.
2. Klik menu Modul Pembelajaran.
3. Pilih salah satu modul.
4. Klik tombol Mulai.
5. Klik selanjutnya untuk ke soal
6. Klik kembali tombol Ditandai.</t>
  </si>
  <si>
    <t>TC55</t>
  </si>
  <si>
    <t>Filter Riwayat Aktivitas Siswa Berdasarkan Waktu</t>
  </si>
  <si>
    <t>Status tanda dihapus.
Nomor soal kembali menampilkan indikator sesuai status jawaban (Sudah Dijawab atau Belum Dijawab).</t>
  </si>
  <si>
    <t>1. Login menggunakan akun Admin yang valid.
2. Klik menu Performa Siswa.
3. Klik ikon Lihat pada salah satu siswa.
4. Pilih waktu pada filter.</t>
  </si>
  <si>
    <t>Bulan Ini</t>
  </si>
  <si>
    <t>1. Sistem menampilkan riwayat aktivitas sesuai periode waktu yang dipilih.</t>
  </si>
  <si>
    <t>TC56</t>
  </si>
  <si>
    <t>Ekspor Data Detail Siswa ke Excel</t>
  </si>
  <si>
    <t>1. Login menggunakan akun Admin yang valid.
2. Klik menu Performa Siswa.
3. Klik ikon Lihat pada salah satu siswa.
4. Klik tombol Ekspor.</t>
  </si>
  <si>
    <t>1. Sistem berhasil mengekspor data performa siswa ke file Excel.
2. File Excel berhasil diunduh.</t>
  </si>
  <si>
    <t xml:space="preserve">Menyelesaikan Modul </t>
  </si>
  <si>
    <t>1. Login menggunakan akun Siswa yang Terdaftar.
2. Klik menu Modul Pembelajaran.
3. Pilih salah satu modul.
4. Klik tombol Mulai.
5. Klik selanjutnya untuk ke soal
6. Jawab seluruh soal.
7. Klik Selesai.</t>
  </si>
  <si>
    <t>5. PENGGUNA</t>
  </si>
  <si>
    <t xml:space="preserve">1. Sistem menyimpan seluruh jawaban.
2. Sistem menghitung nilai.
3. Status modul berubah menjadi Selesai.
4. Nilai masuk ke Performa Siswa.
</t>
  </si>
  <si>
    <t>TC57</t>
  </si>
  <si>
    <t>Halaman Pengguna</t>
  </si>
  <si>
    <t>1. Login menggunakan akun Admin yang valid.
2. Klik menu Pengguna.</t>
  </si>
  <si>
    <t>1. Sistem menampilkan halaman Kelola Pengguna.
2. Sistem menampilkan daftar pengguna yang telah terdaftar.</t>
  </si>
  <si>
    <t>TC58</t>
  </si>
  <si>
    <t>Tambah Pengguna Admin (Data Valid)</t>
  </si>
  <si>
    <t>Menyelesaikan Modul dengan Masih Ada Soal Kosong</t>
  </si>
  <si>
    <t>Login menggunakan akun Admin yang valid..
Klik menu Pengguna.
Klik Tambah Pengguna.
Isi seluruh data.
Pilih peran Admin.
Klik Simpan.</t>
  </si>
  <si>
    <t>1. Login menggunakan akun Siswa yang Terdaftar.
2. Klik menu Modul Pembelajaran.
3. Pilih salah satu modul.
4. Klik tombol Mulai.
5. Klik selanjutnya untuk ke soal
6. Kosongkan salah satu soal
7. Klik Selesai.</t>
  </si>
  <si>
    <t>Nama : Admin Baru
Email  : adminbaru@gmail.com
Peran  : Admin
Foto Profil : admin.jpg</t>
  </si>
  <si>
    <t>Sistem menampilkan notifikasi berhasil menambahkan akun Admin.
Data pengguna tampil pada daftar pengguna.</t>
  </si>
  <si>
    <t>1. Sistem menampilkan peringatan bahwa masih terdapat soal yang belum dijawab.
2. Pengguna diminta melakukan konfirmasi sebelum menyelesaikan modul.</t>
  </si>
  <si>
    <t>TC59</t>
  </si>
  <si>
    <t>Tambah Pengguna Tutor (Data Valid)</t>
  </si>
  <si>
    <t>Login menggunakan akun Admin yang valid.
Klik menu Pengguna.
Klik Tambah Pengguna.
Isi seluruh data.
Pilih peran Tutor.
Klik Simpan.</t>
  </si>
  <si>
    <t>Nama : Tutor A1
Email  : tutora1@gmail.com
Peran  : Tutor
Foto Profil  : tutor.jpg</t>
  </si>
  <si>
    <t>Sistem berhasil menambahkan akun Tutor.
Data pengguna tampil pada daftar pengguna.</t>
  </si>
  <si>
    <t>Belum ada pesan peringatan</t>
  </si>
  <si>
    <t>TC60</t>
  </si>
  <si>
    <t>Tambah Pengguna Siswa (Data Valid)</t>
  </si>
  <si>
    <t>Login menggunakan akun Admin yang valid.
Klik menu Pengguna.
Klik Tambah Pengguna.
Isi seluruh data.
Pilih peran Siswa.
Klik Simpan.</t>
  </si>
  <si>
    <t>Nama : Siswa A1
Email : siswaa1@gmail.com
Peran :Siswa
Foto Profil : siswa.jpg</t>
  </si>
  <si>
    <t>Sistem berhasil menambahkan akun Siswa.
Data pengguna tampil pada daftar pengguna.</t>
  </si>
  <si>
    <t>TC61</t>
  </si>
  <si>
    <t xml:space="preserve">Tambah Pengguna dengan Nama Kosong
</t>
  </si>
  <si>
    <t>Login menggunakan akun Admin yang valid.
Klik menu Pengguna.
Klik Tambah Pengguna.
Isi seluruh data, kecuali Nama
Pilih peran.
Klik Simpan.</t>
  </si>
  <si>
    <t>Nama :(Kosong)
Email  :user@gmail.com
Peran  :Admin</t>
  </si>
  <si>
    <t>Sistem menampilkan pesan bahwa Nama Pengguna wajib diisi.
Data pengguna tidak berhasil disimpan.</t>
  </si>
  <si>
    <t>4. PERFORMA SISWA</t>
  </si>
  <si>
    <t>TC62</t>
  </si>
  <si>
    <t>Tambah Pengguna dengan Email Kosong</t>
  </si>
  <si>
    <t>Login menggunakan akun Admin yang valid.
Klik menu Pengguna.
Klik Tambah Pengguna.
Isi seluruh data, kecuali Email
Pilih peran Siswa.
Klik Simpan.</t>
  </si>
  <si>
    <t>Nama : Admin Baru
Email  : (Kosong)
Peran  : Admin</t>
  </si>
  <si>
    <t>Sistem menampilkan pesan bahwa Email wajib diisi.
Data pengguna tidak berhasil disimpan.</t>
  </si>
  <si>
    <t>TC63</t>
  </si>
  <si>
    <t>Tambah Pengguna dengan Format Email Tidak Valid</t>
  </si>
  <si>
    <t>Login menggunakan akun Admin yang valid.
Klik menu Pengguna.
Klik Tambah Pengguna.
Isi seluruh data, kecuali Email isi dengan format tidak valid
Pilih peran Siswa.
Klik Simpan.</t>
  </si>
  <si>
    <t>Nama :Tutor Baru
Email  : tutorgmail.com
Peran : Tutor</t>
  </si>
  <si>
    <t>Sistem menampilkan pesan bahwa format email tidak valid.
Data pengguna tidak berhasil disimpan.</t>
  </si>
  <si>
    <t>TC64</t>
  </si>
  <si>
    <t>Tambah Pengguna dengan Email Sudah Terdaftar</t>
  </si>
  <si>
    <t>Login menggunakan akun Admin yang valid.
Klik menu Pengguna.
Klik Tambah Pengguna.
Isi seluruh data, kecuali Email isi dengan email yang sudah terdaftar
Pilih peran Siswa.
Klik Simpan.</t>
  </si>
  <si>
    <t>Nama : Tutor Baru
Email  : ch@gmail.com
Peran  : Tutor</t>
  </si>
  <si>
    <t>Sistem menampilkan pesan bahwa email sudah digunakan.
Data pengguna tidak berhasil disimpan.</t>
  </si>
  <si>
    <t xml:space="preserve">Kalau bisa ikon notifikasinya diganti X atau warna merah </t>
  </si>
  <si>
    <t>Screenshot 2026-09-06 002648.png</t>
  </si>
  <si>
    <t>Halaman Performa Siswa</t>
  </si>
  <si>
    <t>1. Login menggunakan akun Siswa yang Terdaftar.
2. Klik menu Performa Siswa</t>
  </si>
  <si>
    <t>1. Sistem menampilkan ringkasan performa siswa berdasarkan kategori.
2. Sistem menampilkan jumlah penyelesaian pada setiap kategori.
3. Sistem menampilkan nilai rata-rata pada setiap kategori.
4. Sistem menampilkan riwayat pengerjaan modul.</t>
  </si>
  <si>
    <t xml:space="preserve">Notifikasi belum konsisten masih server, samakan dengan yang lain </t>
  </si>
  <si>
    <t>Pencarian Riwayat Modul</t>
  </si>
  <si>
    <t>1. Login menggunakan akun Siswa yang Terdaftar.
2.  Klik menu Performa Siswa
3. Masukkan nama modul pada kolom pencarian.</t>
  </si>
  <si>
    <t>1. Sistem hanya menampilkan riwayat modul yang sesuai.</t>
  </si>
  <si>
    <t>TC65</t>
  </si>
  <si>
    <t>Tambah Pengguna dengan Peran Kosong</t>
  </si>
  <si>
    <t>Login menggunakan akun Admin yang valid.
Klik menu Pengguna.
Klik Tambah Pengguna.
Isi seluruh data, kecuali peran
Pilih peran Siswa.
Klik Simpan.</t>
  </si>
  <si>
    <t>Nama :Tutor Baru
Email  : tutorbaru@gmail.com
Peran  :(Kosong)</t>
  </si>
  <si>
    <t>Sistem menampilkan pesan bahwa Peran wajib dipilih.
Data pengguna tidak berhasil disimpan.</t>
  </si>
  <si>
    <t>TC66</t>
  </si>
  <si>
    <t>Melihat Detail Pengguna</t>
  </si>
  <si>
    <t>Login menggunakan akun Admin yang valid.
Klik menu Pengguna.
Klik ikon Lihat.</t>
  </si>
  <si>
    <t xml:space="preserve">Notifikasi belum konsisiten masih server, samakan dengan yang lain </t>
  </si>
  <si>
    <t>Pengguna
Tutor A1</t>
  </si>
  <si>
    <t>Sistem menampilkan detail informasi pengguna.</t>
  </si>
  <si>
    <t>ABCXYZ</t>
  </si>
  <si>
    <t>TC67</t>
  </si>
  <si>
    <t>Edit Pengguna</t>
  </si>
  <si>
    <t>Login menggunakan akun Admin yang valid.
Klik menu Pengguna.
Klik ikon Edit.
Ubah data pengguna.
Klik Simpan.</t>
  </si>
  <si>
    <t>Nama
Tutor A1
JejeTutor A1</t>
  </si>
  <si>
    <t>Sistem berhasil menyimpan perubahan.
Data pengguna diperbarui pada daftar pengguna.</t>
  </si>
  <si>
    <t>TC68</t>
  </si>
  <si>
    <t>Hapus Pengguna</t>
  </si>
  <si>
    <t>1. Login menggunakan akun Siswa yang Terdaftar.
2. Klik menu Performa Siswa
3. Pilih kategori.</t>
  </si>
  <si>
    <t>1. Sistem hanya menampilkan riwayat sesuai kategori.</t>
  </si>
  <si>
    <t>Pengguna
Jeje Tutor A1</t>
  </si>
  <si>
    <t>Sistem menampilkan pesan berhasil menghapus pengguna.
Data pengguna tidak lagi ditampilkan pada daftar pengguna.</t>
  </si>
  <si>
    <t>TC69</t>
  </si>
  <si>
    <t>Pencarian Pengguna</t>
  </si>
  <si>
    <t>Login menggunakan akun Admin yang valid.
Klik menu Pengguna.
Masukkan nama atau email pada kolom pencarian.
Klik Cari.</t>
  </si>
  <si>
    <t>Kata Kunci
Siswa A1</t>
  </si>
  <si>
    <t>Sistem menampilkan pengguna yang sesuai dengan kata kunci.</t>
  </si>
  <si>
    <t>Filter Waktu</t>
  </si>
  <si>
    <t>1. Login menggunakan akun Siswa yang Terdaftar.
2. Klik menu Performa Siswa
3. Pilih Filter Waktui.</t>
  </si>
  <si>
    <t>TC70</t>
  </si>
  <si>
    <t>Waktu
Bulan Ini</t>
  </si>
  <si>
    <t>Pencarian Pengguna Tidak Ditemukan</t>
  </si>
  <si>
    <t>1. Sistem hanya menampilkan riwayat sesuai periode yang dipilih.</t>
  </si>
  <si>
    <t>Kata Kunci
ABCXYZ123</t>
  </si>
  <si>
    <t>Sistem menampilkan informasi bahwa data pengguna belum ada.</t>
  </si>
  <si>
    <t>TC71</t>
  </si>
  <si>
    <t>Filter Berdasarkan Status</t>
  </si>
  <si>
    <t>Login menggunakan akun Admin yang valid.
Klik menu Pengguna.
Klik filter Status.
Pilih Aktif/Non Aktif.</t>
  </si>
  <si>
    <t>Status
Aktif / Non aktif</t>
  </si>
  <si>
    <t>Sistem hanya menampilkan pengguna dengan status Aktif/ Non aktif.</t>
  </si>
  <si>
    <t>Melihat Detail Hasil Pengerjaan</t>
  </si>
  <si>
    <t>1. Login menggunakan akun Siswa yang Terdaftar.
2. Klik menu Performa Siswa
3. Klik ikon Lihat pada salah satu riwayat.</t>
  </si>
  <si>
    <t>TC72</t>
  </si>
  <si>
    <t>Filter Berdasarkan Peran</t>
  </si>
  <si>
    <t xml:space="preserve">Login menggunakan akun Admin yang valid.
Klik menu Pengguna.
Klik filter Kategori.
Pilih Tutor.
</t>
  </si>
  <si>
    <t>Peran
Tutor</t>
  </si>
  <si>
    <t>1.Sistem membuka halaman detail hasil pengerjaan.
2. Sistem menampilkan informasi modul.
3. Sistem menampilkan nilai.
4. Sistem menampilkan seluruh soal.
5. Sistem menampilkan jawaban siswa.
6. Sistem menampilkan jawaban benar.
7. Sistem menampilkan penjelasan jawaban (jika tersedia).</t>
  </si>
  <si>
    <t>Sistem hanya menampilkan pengguna dengan peran Tutor.</t>
  </si>
  <si>
    <t>TC73</t>
  </si>
  <si>
    <t>Login menggunakan akun Admin yang valid.
Klik menu Pengguna.
Klik filter Level.
Pilih A1.</t>
  </si>
  <si>
    <t>Sistem hanya menampilkan pengguna dengan level A1.</t>
  </si>
  <si>
    <t>Riwayat Belum Tersedia</t>
  </si>
  <si>
    <t>1. Ringkasan kategori tetap ditampilkan.
2. .Jumlah penyelesaian pada setiap kategori bernilai 0.
3. Nilai rata-rata ditampilkan sesuai kondisi sistem (misalnya "-" atau 0).
4. Tabel riwayat tidak menampilkan data dan menampilkan informasi bahwa belum ada riwayat pengerjaan.</t>
  </si>
  <si>
    <t xml:space="preserve">1. Login menggunakan akun Tutor yang valid.
2. Klik menu Modul Pembelajaran.
3. Klik Tambah Modul
4. Isi Judul Modul.
5. Pilih Level.
6. Pilih kategori Materi.
7. Isi Deskripsi.
8. Upload File Materi
9. Klik Selanjutnya.
10. Kosongkan soal.
11. Klik simpan semua soal. </t>
  </si>
  <si>
    <t xml:space="preserve">1. Login menggunakan akun Tutor yang valid.
2. Klik menu Modul Pembelajaran.
3. Klik Tambah Modul
4. Isi Judul Modul.
5. Pilih Level.
6. Pilih kategori Materi.
7. Isi Deskripsi.
8. Upload File Materi
9. Klik Selanjutnya.
10. Tambahkan soal.
11. Kosongkan Opsi Pilihan
11. Klik simpan semua soal. </t>
  </si>
  <si>
    <t>1. Login menggunakan akun Tutor yang valid.
2. Klik menu Modul Pembelajaran.
3. Klik ikon Lihat pada salah satu modul.</t>
  </si>
  <si>
    <t>Login menggunakan akun Tutor yang valid.
Klik menu Modul Pembelajaran.
Klik ikon Edit pada salah satu modul.
Ubah data modul.
Klik tombol Simpan.</t>
  </si>
  <si>
    <t>1. Tombol Kembali masih menuju form ,
2. File PDF kosong apakah tidk bs muncul filenya ?</t>
  </si>
  <si>
    <t>Test coverage</t>
  </si>
  <si>
    <t>1.Login menggunakan akun Tutor yang valid.
2.Klik menu Modul Pembelajaran.
3.Klik ikon Hapus pada salah satu modul.
4. Klik tombol Konfirmasi.</t>
  </si>
  <si>
    <t>%</t>
  </si>
  <si>
    <t>Test successful coverage</t>
  </si>
  <si>
    <t>1. Login menggunakan akun Tutor yang valid.
2. Klik menu Modul Pembelajaran.
3. Cari modul yang sudah dirilis (ikon mata terbuka).
4. Klik ikon Rilis (ikon mata).</t>
  </si>
  <si>
    <t>1. Login menggunakan akun Tutor yang valid.
2. Klik menu Modul Pembelajaran.
3. Masukkan kata kunci pada kolom pencarian.
4. Klik tombol Cari.</t>
  </si>
  <si>
    <t>1. Login menggunakan akun Tutor yang valid.
2. Klik menu Modul Pembelajaran.
3. Pilih level pada filter.</t>
  </si>
  <si>
    <t>1. Login menggunakan akun Tutor yang valid.
2. Klik menu Performa Siswa</t>
  </si>
  <si>
    <t xml:space="preserve">
1. Halaman Kelola Modul berhasil ditampilkan.
2. Daftar Perfoma siswa ditampilkan.
3. Jika belum terdapat data, sistem menampilkan pesan "Belum ada data siswa".
</t>
  </si>
  <si>
    <t>1. Login menggunakan akun Tutor yang valid.
2. Klik menu Performa Siswa.
3. Klik ikon Lihat pada salah satu siswa.</t>
  </si>
  <si>
    <t>1. Login menggunakan akun Tutor yang valid.
2. Klik menu Performa Siswa.
3. Klik ikon Lihat pada salah satu siswa.
4. Klik tombol Lihat pada salah satu riwayat aktivitas.</t>
  </si>
  <si>
    <t>1. Login menggunakan akun Tutor yang valid.
2. Klik menu Performa Siswa.
3. Masukkan nama siswa pada kolom pencarian.</t>
  </si>
  <si>
    <t>1. Login menggunakan akun Tutor yang valid.
2. Klik menu Performa Siswa.
3. Masukkan nama siswa yang tidak terdaftar.</t>
  </si>
  <si>
    <t>1. Login menggunakan akun Tutor yang valid.
2. Klik menu Performa Siswa.
3. Pilih level pada filter.</t>
  </si>
  <si>
    <t>1. Login menggunakan akun Tutor yang valid.
2. Klik menu Performa Siswa.
3. Klik tombol Ekspor Excel.</t>
  </si>
  <si>
    <t xml:space="preserve">Masih ada kolom "Aksi" dan penamaannya  file excel masih ada "Tutor" </t>
  </si>
  <si>
    <t>Screenshot 2026-09-06 141054.png</t>
  </si>
  <si>
    <t>1. Login menggunakan akun Tutor yang valid.
2. Klik menu Performa Siswa.
3. Klik ikon Lihat pada salah satu siswa.
4.Pilih kategori pada filter riwayat aktivitas.</t>
  </si>
  <si>
    <t>1. Login menggunakan akun Tutor yang valid.
2. Klik menu Performa Siswa.
3. Klik ikon Lihat pada salah satu siswa.
4. Pilih waktu pada filter.</t>
  </si>
  <si>
    <t>1. Login menggunakan akun Tutor yang valid.
2. Klik menu Performa Siswa.
3. Klik ikon Lihat pada salah satu siswa.
4. Klik tombol Ekspor.</t>
  </si>
  <si>
    <t>Masih ada kolom "AKSI "</t>
  </si>
  <si>
    <t>Screenshot 2026-09-06 141045.png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</si>
</sst>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m-yyyy"/>
    <numFmt numFmtId="165" formatCode="[$-409]d\-mmm\-yy"/>
    <numFmt numFmtId="166" formatCode="d/M/yyyy"/>
  </numFmts>
  <fonts count="33">
    <font>
      <sz val="10.0"/>
      <color rgb="FF000000"/>
      <name val="Arial"/>
      <scheme val="minor"/>
    </font>
    <font>
      <sz val="11.0"/>
      <color theme="1"/>
      <name val="Arial"/>
    </font>
    <font>
      <b/>
      <sz val="18.0"/>
      <color theme="1"/>
      <name val="Tahoma"/>
    </font>
    <font>
      <b/>
      <sz val="11.0"/>
      <color theme="1"/>
      <name val="Tahoma"/>
    </font>
    <font>
      <b/>
      <color rgb="FF993300"/>
      <name val="Tahoma"/>
    </font>
    <font>
      <color theme="1"/>
      <name val="Tahoma"/>
    </font>
    <font>
      <b/>
      <color theme="1"/>
      <name val="Tahoma"/>
    </font>
    <font>
      <sz val="11.0"/>
      <color theme="1"/>
      <name val="Tahoma"/>
    </font>
    <font/>
    <font>
      <color theme="1"/>
      <name val="Arial"/>
      <scheme val="minor"/>
    </font>
    <font>
      <b/>
      <color rgb="FF993300"/>
      <name val="Arial"/>
      <scheme val="minor"/>
    </font>
    <font>
      <b/>
      <color rgb="FFFFFFFF"/>
      <name val="Tahoma"/>
    </font>
    <font>
      <b/>
      <sz val="11.0"/>
      <color rgb="FFFFFFFF"/>
      <name val="Tahoma"/>
    </font>
    <font>
      <sz val="11.0"/>
      <color rgb="FFFF0000"/>
      <name val="Arial"/>
    </font>
    <font>
      <color theme="1"/>
      <name val="Arial"/>
    </font>
    <font>
      <u/>
      <sz val="11.0"/>
      <color rgb="FF0000FF"/>
      <name val="Arial"/>
    </font>
    <font>
      <sz val="11.0"/>
      <color rgb="FF1F1F1F"/>
      <name val="Arial"/>
    </font>
    <font>
      <sz val="11.0"/>
      <color rgb="FFFF0000"/>
      <name val="Tahoma"/>
    </font>
    <font>
      <u/>
      <sz val="11.0"/>
      <color theme="1"/>
      <name val="Arial"/>
    </font>
    <font>
      <u/>
      <sz val="11.0"/>
      <color theme="1"/>
      <name val="Arial"/>
    </font>
    <font>
      <u/>
      <sz val="11.0"/>
      <color theme="1"/>
      <name val="Arial"/>
    </font>
    <font>
      <b/>
      <sz val="12.0"/>
      <color theme="1"/>
      <name val="Tahoma"/>
    </font>
    <font>
      <sz val="11.0"/>
      <color theme="1"/>
      <name val="Roboto"/>
    </font>
    <font>
      <color rgb="FF1F1F1F"/>
      <name val="Arial"/>
    </font>
    <font>
      <color rgb="FFFF0000"/>
      <name val="Tahoma"/>
    </font>
    <font>
      <b/>
      <sz val="11.0"/>
      <color theme="1"/>
      <name val="Arial"/>
    </font>
    <font>
      <u/>
      <color theme="1"/>
      <name val="Arial"/>
    </font>
    <font>
      <color rgb="FFFFFFFF"/>
      <name val="Tahoma"/>
    </font>
    <font>
      <b/>
      <sz val="11.0"/>
      <color rgb="FFFF0000"/>
      <name val="Tahoma"/>
    </font>
    <font>
      <color rgb="FF1F1F1F"/>
      <name val="Arial"/>
      <scheme val="minor"/>
    </font>
    <font>
      <color rgb="FFFF0000"/>
      <name val="Arial"/>
      <scheme val="minor"/>
    </font>
    <font>
      <b/>
      <color theme="1"/>
      <name val="Arial"/>
      <scheme val="minor"/>
    </font>
    <font>
      <b/>
      <color rgb="FF0000FF"/>
      <name val="Tahoma"/>
    </font>
  </fonts>
  <fills count="9">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D9EAD3"/>
        <bgColor rgb="FFD9EAD3"/>
      </patternFill>
    </fill>
    <fill>
      <patternFill patternType="solid">
        <fgColor rgb="FFFFFF00"/>
        <bgColor rgb="FFFFFF00"/>
      </patternFill>
    </fill>
  </fills>
  <borders count="68">
    <border/>
    <border>
      <left/>
      <right/>
      <top/>
      <bottom/>
    </border>
    <border>
      <right style="thin">
        <color rgb="FF000000"/>
      </right>
      <bottom style="thin">
        <color rgb="FF000000"/>
      </bottom>
    </border>
    <border>
      <left/>
      <right/>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medium">
        <color rgb="FF000000"/>
      </top>
      <bottom style="thin">
        <color rgb="FF000000"/>
      </bottom>
    </border>
    <border>
      <right style="thin">
        <color rgb="FF000000"/>
      </right>
      <top style="thin">
        <color rgb="FF000000"/>
      </top>
      <bottom style="thin">
        <color rgb="FF000000"/>
      </bottom>
    </border>
    <border>
      <top style="medium">
        <color rgb="FF000000"/>
      </top>
      <bottom style="thin">
        <color rgb="FF000000"/>
      </bottom>
    </border>
    <border>
      <left style="thin">
        <color rgb="FF000000"/>
      </left>
      <right style="thin">
        <color rgb="FF000000"/>
      </right>
      <bottom style="thin">
        <color rgb="FF000000"/>
      </bottom>
    </border>
    <border>
      <right style="medium">
        <color rgb="FF000000"/>
      </right>
      <top style="medium">
        <color rgb="FF000000"/>
      </top>
      <bottom style="thin">
        <color rgb="FF000000"/>
      </bottom>
    </border>
    <border>
      <bottom style="thin">
        <color rgb="FF000000"/>
      </bottom>
    </border>
    <border>
      <left style="thin">
        <color rgb="FF000000"/>
      </left>
      <right style="dotted">
        <color rgb="FF000000"/>
      </right>
      <top style="thin">
        <color rgb="FF000000"/>
      </top>
      <bottom style="dotted">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dotted">
        <color rgb="FF000000"/>
      </bottom>
    </border>
    <border>
      <right/>
      <top/>
      <bottom/>
    </border>
    <border>
      <left style="dotted">
        <color rgb="FF000000"/>
      </left>
      <right style="thin">
        <color rgb="FF000000"/>
      </right>
      <top style="thin">
        <color rgb="FF000000"/>
      </top>
      <bottom style="dotted">
        <color rgb="FF000000"/>
      </bottom>
    </border>
    <border>
      <left/>
      <top/>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bottom style="thin">
        <color rgb="FF000000"/>
      </bottom>
    </border>
    <border>
      <left/>
      <right/>
      <bottom/>
    </border>
    <border>
      <left style="thin">
        <color rgb="FF000000"/>
      </left>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top style="thin">
        <color rgb="FF000000"/>
      </top>
      <bottom style="thin">
        <color rgb="FF000000"/>
      </bottom>
    </border>
    <border>
      <left style="dotted">
        <color rgb="FF000000"/>
      </left>
      <right style="thin">
        <color rgb="FF000000"/>
      </right>
      <top style="dotted">
        <color rgb="FF000000"/>
      </top>
      <bottom style="thin">
        <color rgb="FF000000"/>
      </bottom>
    </border>
    <border>
      <right style="thin">
        <color rgb="FF000000"/>
      </right>
      <top style="thin">
        <color rgb="FF000000"/>
      </top>
    </border>
    <border>
      <left style="thin">
        <color rgb="FF000000"/>
      </left>
      <right style="thin">
        <color rgb="FF000000"/>
      </right>
      <top/>
      <bottom style="thin">
        <color rgb="FF000000"/>
      </bottom>
    </border>
    <border>
      <left style="thin">
        <color rgb="FF000000"/>
      </left>
      <top/>
      <bottom style="thin">
        <color rgb="FF000000"/>
      </bottom>
    </border>
    <border>
      <left style="thin">
        <color rgb="FF000000"/>
      </left>
      <right style="thin">
        <color rgb="FF000000"/>
      </right>
      <top style="thin">
        <color rgb="FF000000"/>
      </top>
    </border>
    <border>
      <top style="thin">
        <color rgb="FF000000"/>
      </top>
    </border>
    <border>
      <right/>
      <top style="thin">
        <color rgb="FF000000"/>
      </top>
    </border>
    <border>
      <right style="thin">
        <color rgb="FF000000"/>
      </right>
    </border>
    <border>
      <left style="thin">
        <color rgb="FF000000"/>
      </left>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medium">
        <color rgb="FF000000"/>
      </right>
      <bottom style="thin">
        <color rgb="FF000000"/>
      </bottom>
    </border>
    <border>
      <left style="medium">
        <color rgb="FF000000"/>
      </left>
    </border>
    <border>
      <right style="medium">
        <color rgb="FF000000"/>
      </right>
    </border>
    <border>
      <left style="medium">
        <color rgb="FF000000"/>
      </left>
      <right style="hair">
        <color rgb="FF000000"/>
      </right>
      <top style="thin">
        <color rgb="FF000000"/>
      </top>
      <bottom style="hair">
        <color rgb="FF000000"/>
      </bottom>
    </border>
    <border>
      <left style="hair">
        <color rgb="FF000000"/>
      </left>
      <right style="hair">
        <color rgb="FF000000"/>
      </right>
      <top style="thin">
        <color rgb="FF000000"/>
      </top>
    </border>
    <border>
      <left style="hair">
        <color rgb="FF000000"/>
      </left>
      <right style="medium">
        <color rgb="FF000000"/>
      </right>
      <top style="thin">
        <color rgb="FF000000"/>
      </top>
      <bottom style="hair">
        <color rgb="FF000000"/>
      </bottom>
    </border>
    <border>
      <left style="medium">
        <color rgb="FF000000"/>
      </left>
      <top style="hair">
        <color rgb="FF000000"/>
      </top>
      <bottom style="hair">
        <color rgb="FF000000"/>
      </bottom>
    </border>
    <border>
      <right style="thin">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top style="hair">
        <color rgb="FF000000"/>
      </top>
    </border>
    <border>
      <left style="hair">
        <color rgb="FF000000"/>
      </left>
      <right style="hair">
        <color rgb="FF000000"/>
      </right>
      <top style="hair">
        <color rgb="FF000000"/>
      </top>
    </border>
    <border>
      <left style="hair">
        <color rgb="FF000000"/>
      </left>
      <right style="medium">
        <color rgb="FF000000"/>
      </right>
      <top style="hair">
        <color rgb="FF000000"/>
      </top>
    </border>
    <border>
      <left style="medium">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top style="thin">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vertical="bottom"/>
    </xf>
    <xf borderId="1" fillId="2" fontId="1" numFmtId="0" xfId="0" applyAlignment="1" applyBorder="1" applyFill="1" applyFont="1">
      <alignment vertical="bottom"/>
    </xf>
    <xf borderId="0" fillId="2" fontId="3" numFmtId="0" xfId="0" applyAlignment="1" applyFill="1" applyFont="1">
      <alignment vertical="bottom"/>
    </xf>
    <xf borderId="1" fillId="2" fontId="4" numFmtId="0" xfId="0" applyAlignment="1" applyBorder="1" applyFill="1" applyFont="1">
      <alignment vertical="bottom"/>
    </xf>
    <xf borderId="0" fillId="2" fontId="1" numFmtId="0" xfId="0" applyAlignment="1" applyFill="1" applyFont="1">
      <alignment vertical="bottom"/>
    </xf>
    <xf borderId="1" fillId="2" fontId="5" numFmtId="0" xfId="0" applyAlignment="1" applyBorder="1" applyFill="1" applyFont="1">
      <alignment horizontal="right" readingOrder="0" vertical="bottom"/>
    </xf>
    <xf borderId="2" fillId="2" fontId="1" numFmtId="0" xfId="0" applyAlignment="1" applyBorder="1" applyFill="1" applyFont="1">
      <alignment vertical="top"/>
    </xf>
    <xf borderId="3" fillId="2" fontId="6" numFmtId="0" xfId="0" applyAlignment="1" applyBorder="1" applyFill="1" applyFont="1">
      <alignment shrinkToFit="0" vertical="bottom" wrapText="1"/>
    </xf>
    <xf borderId="0" fillId="0" fontId="5" numFmtId="164" xfId="0" applyAlignment="1" applyFont="1" applyNumberFormat="1">
      <alignment readingOrder="0" vertical="bottom"/>
    </xf>
    <xf borderId="0" fillId="2" fontId="1" numFmtId="0" xfId="0" applyFill="1" applyFont="1"/>
    <xf borderId="0" fillId="0" fontId="1" numFmtId="15" xfId="0" applyAlignment="1" applyFont="1" applyNumberFormat="1">
      <alignment vertical="bottom"/>
    </xf>
    <xf borderId="3" fillId="2" fontId="1" numFmtId="0" xfId="0" applyAlignment="1" applyBorder="1" applyFill="1" applyFont="1">
      <alignment shrinkToFit="0" vertical="top" wrapText="1"/>
    </xf>
    <xf borderId="4" fillId="2" fontId="3" numFmtId="0" xfId="0" applyAlignment="1" applyBorder="1" applyFill="1" applyFont="1">
      <alignment vertical="top"/>
    </xf>
    <xf borderId="0" fillId="2" fontId="3" numFmtId="0" xfId="0" applyAlignment="1" applyFill="1" applyFont="1">
      <alignment horizontal="left" shrinkToFit="0" vertical="top" wrapText="1"/>
    </xf>
    <xf borderId="3" fillId="2" fontId="1" numFmtId="0" xfId="0" applyAlignment="1" applyBorder="1" applyFill="1" applyFont="1">
      <alignment shrinkToFit="0" vertical="bottom" wrapText="1"/>
    </xf>
    <xf borderId="5" fillId="2" fontId="7" numFmtId="0" xfId="0" applyAlignment="1" applyBorder="1" applyFill="1" applyFont="1">
      <alignment readingOrder="0" vertical="bottom"/>
    </xf>
    <xf borderId="0" fillId="2" fontId="1" numFmtId="0" xfId="0" applyAlignment="1" applyFill="1" applyFont="1">
      <alignment horizontal="left" shrinkToFit="0" vertical="top" wrapText="1"/>
    </xf>
    <xf borderId="5" fillId="0" fontId="8" numFmtId="0" xfId="0" applyBorder="1" applyFont="1"/>
    <xf borderId="6" fillId="2" fontId="5" numFmtId="0" xfId="0" applyAlignment="1" applyBorder="1" applyFill="1" applyFont="1">
      <alignment readingOrder="0" shrinkToFit="0" vertical="bottom" wrapText="1"/>
    </xf>
    <xf borderId="1" fillId="2" fontId="1" numFmtId="0" xfId="0" applyAlignment="1" applyBorder="1" applyFill="1" applyFont="1">
      <alignment shrinkToFit="0" vertical="bottom" wrapText="1"/>
    </xf>
    <xf borderId="7" fillId="0" fontId="8" numFmtId="0" xfId="0" applyBorder="1" applyFont="1"/>
    <xf borderId="8" fillId="0" fontId="8" numFmtId="0" xfId="0" applyBorder="1" applyFont="1"/>
    <xf borderId="2" fillId="2" fontId="1" numFmtId="0" xfId="0" applyAlignment="1" applyBorder="1" applyFill="1" applyFont="1">
      <alignment horizontal="left" shrinkToFit="0" vertical="top" wrapText="1"/>
    </xf>
    <xf borderId="9" fillId="2" fontId="3" numFmtId="0" xfId="0" applyAlignment="1" applyBorder="1" applyFill="1" applyFont="1">
      <alignment vertical="top"/>
    </xf>
    <xf borderId="1" fillId="2" fontId="1" numFmtId="0" xfId="0" applyAlignment="1" applyBorder="1" applyFill="1" applyFont="1">
      <alignment shrinkToFit="0" wrapText="1"/>
    </xf>
    <xf borderId="10" fillId="0" fontId="8" numFmtId="0" xfId="0" applyBorder="1" applyFont="1"/>
    <xf borderId="0" fillId="0" fontId="9" numFmtId="0" xfId="0" applyAlignment="1" applyFont="1">
      <alignment shrinkToFit="0" wrapText="1"/>
    </xf>
    <xf borderId="11" fillId="2" fontId="1" numFmtId="0" xfId="0" applyAlignment="1" applyBorder="1" applyFill="1" applyFont="1">
      <alignment vertical="bottom"/>
    </xf>
    <xf borderId="0" fillId="0" fontId="9" numFmtId="0" xfId="0" applyAlignment="1" applyFont="1">
      <alignment horizontal="left" shrinkToFit="0" vertical="top" wrapText="1"/>
    </xf>
    <xf borderId="4" fillId="0" fontId="1" numFmtId="0" xfId="0" applyAlignment="1" applyBorder="1" applyFont="1">
      <alignment vertical="bottom"/>
    </xf>
    <xf borderId="2" fillId="2" fontId="1" numFmtId="0" xfId="0" applyAlignment="1" applyBorder="1" applyFill="1" applyFont="1">
      <alignment vertical="bottom"/>
    </xf>
    <xf borderId="0" fillId="2" fontId="1" numFmtId="0" xfId="0" applyAlignment="1" applyFill="1" applyFont="1">
      <alignment vertical="top"/>
    </xf>
    <xf borderId="0" fillId="0" fontId="10" numFmtId="0" xfId="0" applyAlignment="1" applyFont="1">
      <alignment readingOrder="0"/>
    </xf>
    <xf borderId="4" fillId="2" fontId="6" numFmtId="0" xfId="0" applyAlignment="1" applyBorder="1" applyFill="1" applyFont="1">
      <alignment shrinkToFit="0" vertical="top" wrapText="1"/>
    </xf>
    <xf borderId="9" fillId="2" fontId="3" numFmtId="0" xfId="0" applyAlignment="1" applyBorder="1" applyFill="1" applyFont="1">
      <alignment horizontal="right" vertical="top"/>
    </xf>
    <xf borderId="12" fillId="3" fontId="11" numFmtId="165" xfId="0" applyAlignment="1" applyBorder="1" applyFill="1" applyFont="1" applyNumberFormat="1">
      <alignment horizontal="center"/>
    </xf>
    <xf borderId="13" fillId="2" fontId="5" numFmtId="0" xfId="0" applyAlignment="1" applyBorder="1" applyFill="1" applyFont="1">
      <alignment shrinkToFit="0" vertical="bottom" wrapText="1"/>
    </xf>
    <xf borderId="14" fillId="3" fontId="11" numFmtId="0" xfId="0" applyAlignment="1" applyBorder="1" applyFill="1" applyFont="1">
      <alignment horizontal="center"/>
    </xf>
    <xf borderId="4" fillId="2" fontId="3" numFmtId="0" xfId="0" applyAlignment="1" applyBorder="1" applyFill="1" applyFont="1">
      <alignment horizontal="left" shrinkToFit="0" vertical="top" wrapText="1"/>
    </xf>
    <xf borderId="7" fillId="2" fontId="1" numFmtId="0" xfId="0" applyAlignment="1" applyBorder="1" applyFill="1" applyFont="1">
      <alignment shrinkToFit="0" wrapText="1"/>
    </xf>
    <xf borderId="14" fillId="3" fontId="11" numFmtId="0" xfId="0" applyAlignment="1" applyBorder="1" applyFill="1" applyFont="1">
      <alignment horizontal="center" shrinkToFit="0" wrapText="1"/>
    </xf>
    <xf borderId="15" fillId="2" fontId="1" numFmtId="0" xfId="0" applyAlignment="1" applyBorder="1" applyFill="1" applyFont="1">
      <alignment shrinkToFit="0" vertical="bottom" wrapText="1"/>
    </xf>
    <xf borderId="16" fillId="3" fontId="11" numFmtId="0" xfId="0" applyAlignment="1" applyBorder="1" applyFill="1" applyFont="1">
      <alignment horizontal="center"/>
    </xf>
    <xf borderId="17" fillId="2" fontId="1" numFmtId="0" xfId="0" applyAlignment="1" applyBorder="1" applyFill="1" applyFont="1">
      <alignment shrinkToFit="0" wrapText="1"/>
    </xf>
    <xf borderId="5" fillId="2" fontId="7" numFmtId="0" xfId="0" applyAlignment="1" applyBorder="1" applyFill="1" applyFont="1">
      <alignment horizontal="left" readingOrder="0" shrinkToFit="0" vertical="top" wrapText="1"/>
    </xf>
    <xf borderId="18" fillId="0" fontId="5" numFmtId="164" xfId="0" applyAlignment="1" applyBorder="1" applyFont="1" applyNumberFormat="1">
      <alignment horizontal="center" readingOrder="0" vertical="bottom"/>
    </xf>
    <xf borderId="11" fillId="2" fontId="7" numFmtId="0" xfId="0" applyAlignment="1" applyBorder="1" applyFill="1" applyFont="1">
      <alignment horizontal="center" vertical="bottom"/>
    </xf>
    <xf borderId="19" fillId="0" fontId="5" numFmtId="49" xfId="0" applyAlignment="1" applyBorder="1" applyFont="1" applyNumberFormat="1">
      <alignment horizontal="center"/>
    </xf>
    <xf borderId="4" fillId="2" fontId="3" numFmtId="0" xfId="0" applyAlignment="1" applyBorder="1" applyFill="1" applyFont="1">
      <alignment horizontal="right" vertical="top"/>
    </xf>
    <xf borderId="9" fillId="2" fontId="3" numFmtId="0" xfId="0" applyAlignment="1" applyBorder="1" applyFill="1" applyFont="1">
      <alignment horizontal="left" shrinkToFit="0" vertical="top" wrapText="1"/>
    </xf>
    <xf borderId="19" fillId="0" fontId="5" numFmtId="0" xfId="0" applyAlignment="1" applyBorder="1" applyFont="1">
      <alignment horizontal="center"/>
    </xf>
    <xf borderId="19" fillId="0" fontId="5" numFmtId="0" xfId="0" applyAlignment="1" applyBorder="1" applyFont="1">
      <alignment horizontal="center" readingOrder="0"/>
    </xf>
    <xf borderId="2" fillId="2" fontId="7" numFmtId="0" xfId="0" applyAlignment="1" applyBorder="1" applyFill="1" applyFont="1">
      <alignment horizontal="center" vertical="bottom"/>
    </xf>
    <xf borderId="13" fillId="2" fontId="1" numFmtId="0" xfId="0" applyAlignment="1" applyBorder="1" applyFill="1" applyFont="1">
      <alignment shrinkToFit="0" vertical="top" wrapText="1"/>
    </xf>
    <xf borderId="19" fillId="0" fontId="9" numFmtId="0" xfId="0" applyAlignment="1" applyBorder="1" applyFont="1">
      <alignment horizontal="center" readingOrder="0"/>
    </xf>
    <xf borderId="20" fillId="0" fontId="1" numFmtId="0" xfId="0" applyAlignment="1" applyBorder="1" applyFont="1">
      <alignment horizontal="center" readingOrder="0"/>
    </xf>
    <xf borderId="18" fillId="0" fontId="1" numFmtId="165" xfId="0" applyAlignment="1" applyBorder="1" applyFont="1" applyNumberFormat="1">
      <alignment vertical="bottom"/>
    </xf>
    <xf borderId="11" fillId="2" fontId="1" numFmtId="0" xfId="0" applyAlignment="1" applyBorder="1" applyFill="1" applyFont="1">
      <alignment horizontal="left" shrinkToFit="0" vertical="top" wrapText="1"/>
    </xf>
    <xf borderId="2" fillId="0" fontId="3" numFmtId="0" xfId="0" applyAlignment="1" applyBorder="1" applyFont="1">
      <alignment horizontal="right" vertical="top"/>
    </xf>
    <xf borderId="19" fillId="0" fontId="1" numFmtId="49" xfId="0" applyBorder="1" applyFont="1" applyNumberFormat="1"/>
    <xf borderId="4" fillId="2" fontId="5" numFmtId="0" xfId="0" applyAlignment="1" applyBorder="1" applyFill="1" applyFont="1">
      <alignment horizontal="right" shrinkToFit="0" vertical="top" wrapText="1"/>
    </xf>
    <xf borderId="4" fillId="0" fontId="1" numFmtId="0" xfId="0" applyAlignment="1" applyBorder="1" applyFont="1">
      <alignment horizontal="left" shrinkToFit="0" vertical="top" wrapText="1"/>
    </xf>
    <xf borderId="19" fillId="0" fontId="1" numFmtId="0" xfId="0" applyBorder="1" applyFont="1"/>
    <xf borderId="2" fillId="0" fontId="7" numFmtId="0" xfId="0" applyAlignment="1" applyBorder="1" applyFont="1">
      <alignment horizontal="center" vertical="top"/>
    </xf>
    <xf borderId="19" fillId="0" fontId="1" numFmtId="15" xfId="0" applyBorder="1" applyFont="1" applyNumberFormat="1"/>
    <xf borderId="0" fillId="2" fontId="1" numFmtId="1" xfId="0" applyAlignment="1" applyFill="1" applyFont="1" applyNumberFormat="1">
      <alignment vertical="top"/>
    </xf>
    <xf borderId="0" fillId="2" fontId="1" numFmtId="1" xfId="0" applyAlignment="1" applyFill="1" applyFont="1" applyNumberFormat="1">
      <alignment vertical="bottom"/>
    </xf>
    <xf borderId="19" fillId="0" fontId="9" numFmtId="0" xfId="0" applyAlignment="1" applyBorder="1" applyFont="1">
      <alignment readingOrder="0"/>
    </xf>
    <xf borderId="20" fillId="0" fontId="1" numFmtId="0" xfId="0" applyBorder="1" applyFont="1"/>
    <xf borderId="21" fillId="2" fontId="1" numFmtId="0" xfId="0" applyAlignment="1" applyBorder="1" applyFill="1" applyFont="1">
      <alignment vertical="bottom"/>
    </xf>
    <xf borderId="11" fillId="0" fontId="8" numFmtId="0" xfId="0" applyBorder="1" applyFont="1"/>
    <xf borderId="18" fillId="0" fontId="1" numFmtId="165" xfId="0" applyBorder="1" applyFont="1" applyNumberFormat="1"/>
    <xf borderId="22" fillId="2" fontId="1" numFmtId="0" xfId="0" applyAlignment="1" applyBorder="1" applyFill="1" applyFont="1">
      <alignment vertical="bottom"/>
    </xf>
    <xf borderId="4" fillId="2" fontId="5" numFmtId="0" xfId="0" applyAlignment="1" applyBorder="1" applyFill="1" applyFont="1">
      <alignment horizontal="center" shrinkToFit="0" vertical="top" wrapText="1"/>
    </xf>
    <xf borderId="19" fillId="0" fontId="9" numFmtId="0" xfId="0" applyBorder="1" applyFont="1"/>
    <xf borderId="22" fillId="2" fontId="1" numFmtId="0" xfId="0" applyBorder="1" applyFill="1" applyFont="1"/>
    <xf borderId="9" fillId="4" fontId="12" numFmtId="0" xfId="0" applyAlignment="1" applyBorder="1" applyFill="1" applyFont="1">
      <alignment horizontal="center" shrinkToFit="0" wrapText="1"/>
    </xf>
    <xf borderId="11" fillId="2" fontId="7" numFmtId="0" xfId="0" applyAlignment="1" applyBorder="1" applyFill="1" applyFont="1">
      <alignment horizontal="left" shrinkToFit="0" vertical="top" wrapText="1"/>
    </xf>
    <xf borderId="9" fillId="4" fontId="12" numFmtId="0" xfId="0" applyAlignment="1" applyBorder="1" applyFill="1" applyFont="1">
      <alignment shrinkToFit="0" vertical="top" wrapText="1"/>
    </xf>
    <xf borderId="4" fillId="2" fontId="1" numFmtId="0" xfId="0" applyAlignment="1" applyBorder="1" applyFill="1" applyFont="1">
      <alignment shrinkToFit="0" vertical="top" wrapText="1"/>
    </xf>
    <xf borderId="4" fillId="4" fontId="12" numFmtId="0" xfId="0" applyAlignment="1" applyBorder="1" applyFill="1" applyFont="1">
      <alignment horizontal="center" shrinkToFit="0" wrapText="1"/>
    </xf>
    <xf borderId="23" fillId="4" fontId="12" numFmtId="0" xfId="0" applyAlignment="1" applyBorder="1" applyFill="1" applyFont="1">
      <alignment horizontal="center" shrinkToFit="0" wrapText="1"/>
    </xf>
    <xf borderId="24" fillId="4" fontId="12" numFmtId="0" xfId="0" applyAlignment="1" applyBorder="1" applyFill="1" applyFont="1">
      <alignment horizontal="center" shrinkToFit="0" wrapText="1"/>
    </xf>
    <xf borderId="25" fillId="4" fontId="12" numFmtId="0" xfId="0" applyAlignment="1" applyBorder="1" applyFill="1" applyFont="1">
      <alignment horizontal="center" shrinkToFit="0" wrapText="1"/>
    </xf>
    <xf borderId="25" fillId="4" fontId="12" numFmtId="0" xfId="0" applyAlignment="1" applyBorder="1" applyFill="1" applyFont="1">
      <alignment shrinkToFit="0" wrapText="1"/>
    </xf>
    <xf borderId="26" fillId="0" fontId="1" numFmtId="165" xfId="0" applyBorder="1" applyFont="1" applyNumberFormat="1"/>
    <xf borderId="4" fillId="0" fontId="5" numFmtId="0" xfId="0" applyAlignment="1" applyBorder="1" applyFont="1">
      <alignment horizontal="center" shrinkToFit="0" vertical="top" wrapText="1"/>
    </xf>
    <xf borderId="27" fillId="0" fontId="1" numFmtId="49" xfId="0" applyBorder="1" applyFont="1" applyNumberFormat="1"/>
    <xf borderId="2" fillId="2" fontId="7" numFmtId="0" xfId="0" applyAlignment="1" applyBorder="1" applyFill="1" applyFont="1">
      <alignment horizontal="left" shrinkToFit="0" vertical="top" wrapText="1"/>
    </xf>
    <xf borderId="28" fillId="5" fontId="1" numFmtId="0" xfId="0" applyBorder="1" applyFill="1" applyFont="1"/>
    <xf borderId="27" fillId="0" fontId="1" numFmtId="0" xfId="0" applyBorder="1" applyFont="1"/>
    <xf borderId="4" fillId="2" fontId="1" numFmtId="1" xfId="0" applyAlignment="1" applyBorder="1" applyFill="1" applyFont="1" applyNumberFormat="1">
      <alignment shrinkToFit="0" vertical="top" wrapText="1"/>
    </xf>
    <xf borderId="29" fillId="0" fontId="1" numFmtId="0" xfId="0" applyBorder="1" applyFont="1"/>
    <xf borderId="15" fillId="2" fontId="1" numFmtId="1" xfId="0" applyAlignment="1" applyBorder="1" applyFill="1" applyFont="1" applyNumberFormat="1">
      <alignment shrinkToFit="0" vertical="bottom" wrapText="1"/>
    </xf>
    <xf borderId="7" fillId="6" fontId="3" numFmtId="0" xfId="0" applyAlignment="1" applyBorder="1" applyFill="1" applyFont="1">
      <alignment horizontal="left" shrinkToFit="0" vertical="top" wrapText="1"/>
    </xf>
    <xf borderId="1" fillId="2" fontId="1" numFmtId="1" xfId="0" applyAlignment="1" applyBorder="1" applyFill="1" applyFont="1" applyNumberFormat="1">
      <alignment shrinkToFit="0" vertical="bottom" wrapText="1"/>
    </xf>
    <xf borderId="2" fillId="0" fontId="3" numFmtId="0" xfId="0" applyAlignment="1" applyBorder="1" applyFont="1">
      <alignment horizontal="left" shrinkToFit="0" vertical="top" wrapText="1"/>
    </xf>
    <xf borderId="7" fillId="6" fontId="1" numFmtId="0" xfId="0" applyAlignment="1" applyBorder="1" applyFill="1" applyFont="1">
      <alignment horizontal="left" shrinkToFit="0" vertical="top" wrapText="1"/>
    </xf>
    <xf borderId="30" fillId="0" fontId="7" numFmtId="0" xfId="0" applyAlignment="1" applyBorder="1" applyFont="1">
      <alignment horizontal="left" readingOrder="0" shrinkToFit="0" vertical="top" wrapText="1"/>
    </xf>
    <xf borderId="21" fillId="2" fontId="1" numFmtId="0" xfId="0" applyAlignment="1" applyBorder="1" applyFill="1" applyFont="1">
      <alignment shrinkToFit="0" vertical="bottom" wrapText="1"/>
    </xf>
    <xf borderId="30" fillId="0" fontId="1" numFmtId="0" xfId="0" applyAlignment="1" applyBorder="1" applyFont="1">
      <alignment horizontal="left" readingOrder="0" shrinkToFit="0" vertical="top" wrapText="1"/>
    </xf>
    <xf borderId="2" fillId="0" fontId="7" numFmtId="0" xfId="0" applyAlignment="1" applyBorder="1" applyFont="1">
      <alignment horizontal="left" shrinkToFit="0" vertical="top" wrapText="1"/>
    </xf>
    <xf borderId="7" fillId="0" fontId="1" numFmtId="0" xfId="0" applyAlignment="1" applyBorder="1" applyFont="1">
      <alignment horizontal="left" readingOrder="0" shrinkToFit="0" vertical="top" wrapText="1"/>
    </xf>
    <xf borderId="0" fillId="2" fontId="1" numFmtId="1" xfId="0" applyAlignment="1" applyFill="1" applyFont="1" applyNumberFormat="1">
      <alignment horizontal="left" shrinkToFit="0" vertical="top" wrapText="1"/>
    </xf>
    <xf borderId="7" fillId="0" fontId="13" numFmtId="166" xfId="0" applyAlignment="1" applyBorder="1" applyFont="1" applyNumberFormat="1">
      <alignment horizontal="left" readingOrder="0" shrinkToFit="0" vertical="top" wrapText="1"/>
    </xf>
    <xf borderId="31" fillId="4" fontId="12" numFmtId="0" xfId="0" applyAlignment="1" applyBorder="1" applyFill="1" applyFont="1">
      <alignment horizontal="center" shrinkToFit="0" wrapText="1"/>
    </xf>
    <xf borderId="7" fillId="0" fontId="1" numFmtId="0" xfId="0" applyAlignment="1" applyBorder="1" applyFont="1">
      <alignment horizontal="left" shrinkToFit="0" vertical="top" wrapText="1"/>
    </xf>
    <xf borderId="31" fillId="4" fontId="12" numFmtId="0" xfId="0" applyAlignment="1" applyBorder="1" applyFill="1" applyFont="1">
      <alignment shrinkToFit="0" vertical="top" wrapText="1"/>
    </xf>
    <xf borderId="21" fillId="2" fontId="1" numFmtId="0" xfId="0" applyAlignment="1" applyBorder="1" applyFill="1" applyFont="1">
      <alignment horizontal="left" shrinkToFit="0" vertical="top" wrapText="1"/>
    </xf>
    <xf borderId="32" fillId="4" fontId="12" numFmtId="0" xfId="0" applyAlignment="1" applyBorder="1" applyFill="1" applyFont="1">
      <alignment horizontal="center" shrinkToFit="0" wrapText="1"/>
    </xf>
    <xf borderId="22" fillId="2" fontId="1" numFmtId="0" xfId="0" applyAlignment="1" applyBorder="1" applyFill="1" applyFont="1">
      <alignment horizontal="left" shrinkToFit="0" vertical="top" wrapText="1"/>
    </xf>
    <xf borderId="24" fillId="4" fontId="11" numFmtId="0" xfId="0" applyAlignment="1" applyBorder="1" applyFill="1" applyFont="1">
      <alignment horizontal="center" shrinkToFit="0" wrapText="1"/>
    </xf>
    <xf borderId="25" fillId="4" fontId="11" numFmtId="0" xfId="0" applyAlignment="1" applyBorder="1" applyFill="1" applyFont="1">
      <alignment horizontal="center" shrinkToFit="0" wrapText="1"/>
    </xf>
    <xf borderId="25" fillId="4" fontId="11" numFmtId="0" xfId="0" applyAlignment="1" applyBorder="1" applyFill="1" applyFont="1">
      <alignment shrinkToFit="0" wrapText="1"/>
    </xf>
    <xf borderId="9" fillId="4" fontId="12" numFmtId="0" xfId="0" applyAlignment="1" applyBorder="1" applyFill="1" applyFont="1">
      <alignment horizontal="left" shrinkToFit="0" vertical="top" wrapText="1"/>
    </xf>
    <xf borderId="4" fillId="4" fontId="12" numFmtId="0" xfId="0" applyAlignment="1" applyBorder="1" applyFill="1" applyFont="1">
      <alignment horizontal="left" shrinkToFit="0" vertical="top" wrapText="1"/>
    </xf>
    <xf borderId="28" fillId="5" fontId="1" numFmtId="0" xfId="0" applyAlignment="1" applyBorder="1" applyFill="1" applyFont="1">
      <alignment shrinkToFit="0" wrapText="1"/>
    </xf>
    <xf borderId="23" fillId="4" fontId="12" numFmtId="0" xfId="0" applyAlignment="1" applyBorder="1" applyFill="1" applyFont="1">
      <alignment horizontal="left" shrinkToFit="0" vertical="top" wrapText="1"/>
    </xf>
    <xf borderId="24" fillId="4" fontId="12" numFmtId="0" xfId="0" applyAlignment="1" applyBorder="1" applyFill="1" applyFont="1">
      <alignment horizontal="left" shrinkToFit="0" vertical="top" wrapText="1"/>
    </xf>
    <xf borderId="25" fillId="4" fontId="12" numFmtId="0" xfId="0" applyAlignment="1" applyBorder="1" applyFill="1" applyFont="1">
      <alignment horizontal="left" shrinkToFit="0" vertical="top" wrapText="1"/>
    </xf>
    <xf borderId="7" fillId="6" fontId="3" numFmtId="0" xfId="0" applyAlignment="1" applyBorder="1" applyFill="1" applyFont="1">
      <alignment shrinkToFit="0" vertical="top" wrapText="1"/>
    </xf>
    <xf borderId="7" fillId="6" fontId="14" numFmtId="0" xfId="0" applyAlignment="1" applyBorder="1" applyFill="1" applyFont="1">
      <alignment shrinkToFit="0" vertical="top" wrapText="1"/>
    </xf>
    <xf borderId="0" fillId="0" fontId="14" numFmtId="0" xfId="0" applyAlignment="1" applyFont="1">
      <alignment shrinkToFit="0" vertical="bottom" wrapText="1"/>
    </xf>
    <xf borderId="28" fillId="5" fontId="1" numFmtId="0" xfId="0" applyAlignment="1" applyBorder="1" applyFill="1" applyFont="1">
      <alignment horizontal="left" shrinkToFit="0" vertical="top" wrapText="1"/>
    </xf>
    <xf borderId="30" fillId="0" fontId="15" numFmtId="0" xfId="0" applyAlignment="1" applyBorder="1" applyFont="1">
      <alignment horizontal="left" readingOrder="0" shrinkToFit="0" vertical="top" wrapText="1"/>
    </xf>
    <xf borderId="30" fillId="7" fontId="7" numFmtId="0" xfId="0" applyAlignment="1" applyBorder="1" applyFill="1" applyFont="1">
      <alignment horizontal="left" readingOrder="0" shrinkToFit="0" vertical="top" wrapText="1"/>
    </xf>
    <xf borderId="30" fillId="7" fontId="1" numFmtId="0" xfId="0" applyAlignment="1" applyBorder="1" applyFill="1" applyFont="1">
      <alignment horizontal="left" readingOrder="0" shrinkToFit="0" vertical="top" wrapText="1"/>
    </xf>
    <xf borderId="7" fillId="7" fontId="1" numFmtId="0" xfId="0" applyAlignment="1" applyBorder="1" applyFill="1" applyFont="1">
      <alignment horizontal="left" readingOrder="0" shrinkToFit="0" vertical="top" wrapText="1"/>
    </xf>
    <xf borderId="7" fillId="7" fontId="13" numFmtId="166" xfId="0" applyAlignment="1" applyBorder="1" applyFill="1" applyFont="1" applyNumberFormat="1">
      <alignment horizontal="left" readingOrder="0" shrinkToFit="0" vertical="top" wrapText="1"/>
    </xf>
    <xf borderId="7" fillId="0" fontId="1" numFmtId="0" xfId="0" applyAlignment="1" applyBorder="1" applyFont="1">
      <alignment vertical="top"/>
    </xf>
    <xf borderId="7" fillId="0" fontId="13" numFmtId="166" xfId="0" applyAlignment="1" applyBorder="1" applyFont="1" applyNumberFormat="1">
      <alignment horizontal="left" readingOrder="0" shrinkToFit="0" vertical="top" wrapText="1"/>
    </xf>
    <xf borderId="7" fillId="7" fontId="16" numFmtId="0" xfId="0" applyAlignment="1" applyBorder="1" applyFill="1" applyFont="1">
      <alignment horizontal="left" readingOrder="0" shrinkToFit="0" vertical="top" wrapText="1"/>
    </xf>
    <xf borderId="30" fillId="0" fontId="7" numFmtId="0" xfId="0" applyAlignment="1" applyBorder="1" applyFont="1">
      <alignment horizontal="left" readingOrder="0" shrinkToFit="0" vertical="top" wrapText="1"/>
    </xf>
    <xf borderId="0" fillId="0" fontId="9" numFmtId="0" xfId="0" applyAlignment="1" applyFont="1">
      <alignment horizontal="left" readingOrder="0" shrinkToFit="0" vertical="top" wrapText="1"/>
    </xf>
    <xf borderId="4" fillId="0" fontId="1" numFmtId="0" xfId="0" applyAlignment="1" applyBorder="1" applyFont="1">
      <alignment horizontal="left" readingOrder="0" shrinkToFit="0" vertical="top" wrapText="1"/>
    </xf>
    <xf borderId="4" fillId="0" fontId="9" numFmtId="0" xfId="0" applyAlignment="1" applyBorder="1" applyFont="1">
      <alignment horizontal="left" readingOrder="0" shrinkToFit="0" vertical="top" wrapText="1"/>
    </xf>
    <xf borderId="4" fillId="7" fontId="1" numFmtId="0" xfId="0" applyAlignment="1" applyBorder="1" applyFill="1" applyFont="1">
      <alignment horizontal="left" readingOrder="0" shrinkToFit="0" vertical="top" wrapText="1"/>
    </xf>
    <xf borderId="7" fillId="0" fontId="17" numFmtId="166" xfId="0" applyAlignment="1" applyBorder="1" applyFont="1" applyNumberFormat="1">
      <alignment horizontal="left" readingOrder="0" shrinkToFit="0" vertical="top" wrapText="1"/>
    </xf>
    <xf borderId="7" fillId="0" fontId="7" numFmtId="0" xfId="0" applyAlignment="1" applyBorder="1" applyFont="1">
      <alignment horizontal="left" readingOrder="0" shrinkToFit="0" vertical="top" wrapText="1"/>
    </xf>
    <xf borderId="4" fillId="7" fontId="17" numFmtId="166" xfId="0" applyAlignment="1" applyBorder="1" applyFill="1" applyFont="1" applyNumberFormat="1">
      <alignment horizontal="left" readingOrder="0" shrinkToFit="0" vertical="top" wrapText="1"/>
    </xf>
    <xf borderId="4" fillId="7" fontId="7" numFmtId="0" xfId="0" applyAlignment="1" applyBorder="1" applyFill="1" applyFont="1">
      <alignment horizontal="left" shrinkToFit="0" vertical="top" wrapText="1"/>
    </xf>
    <xf borderId="4" fillId="7" fontId="18" numFmtId="0" xfId="0" applyAlignment="1" applyBorder="1" applyFill="1" applyFont="1">
      <alignment horizontal="left" readingOrder="0" shrinkToFit="0" vertical="top" wrapText="1"/>
    </xf>
    <xf borderId="7" fillId="7" fontId="19" numFmtId="0" xfId="0" applyAlignment="1" applyBorder="1" applyFill="1" applyFont="1">
      <alignment readingOrder="0" vertical="top"/>
    </xf>
    <xf borderId="4" fillId="0" fontId="17" numFmtId="166" xfId="0" applyAlignment="1" applyBorder="1" applyFont="1" applyNumberFormat="1">
      <alignment horizontal="left" readingOrder="0" shrinkToFit="0" vertical="top" wrapText="1"/>
    </xf>
    <xf borderId="4" fillId="0" fontId="7" numFmtId="0" xfId="0" applyAlignment="1" applyBorder="1" applyFont="1">
      <alignment horizontal="left" readingOrder="0" shrinkToFit="0" vertical="top" wrapText="1"/>
    </xf>
    <xf borderId="4" fillId="0" fontId="9" numFmtId="0" xfId="0" applyAlignment="1" applyBorder="1" applyFont="1">
      <alignment readingOrder="0" shrinkToFit="0" wrapText="1"/>
    </xf>
    <xf borderId="30" fillId="8" fontId="7" numFmtId="0" xfId="0" applyAlignment="1" applyBorder="1" applyFill="1" applyFont="1">
      <alignment horizontal="left" readingOrder="0" shrinkToFit="0" vertical="top" wrapText="1"/>
    </xf>
    <xf borderId="30" fillId="8" fontId="1" numFmtId="0" xfId="0" applyAlignment="1" applyBorder="1" applyFill="1" applyFont="1">
      <alignment horizontal="left" readingOrder="0" shrinkToFit="0" vertical="top" wrapText="1"/>
    </xf>
    <xf borderId="7" fillId="8" fontId="1" numFmtId="0" xfId="0" applyAlignment="1" applyBorder="1" applyFill="1" applyFont="1">
      <alignment horizontal="left" readingOrder="0" shrinkToFit="0" vertical="top" wrapText="1"/>
    </xf>
    <xf borderId="7" fillId="7" fontId="13" numFmtId="166" xfId="0" applyAlignment="1" applyBorder="1" applyFill="1" applyFont="1" applyNumberFormat="1">
      <alignment horizontal="left" readingOrder="0" shrinkToFit="0" vertical="top" wrapText="1"/>
    </xf>
    <xf borderId="4" fillId="0" fontId="9" numFmtId="0" xfId="0" applyAlignment="1" applyBorder="1" applyFont="1">
      <alignment readingOrder="0"/>
    </xf>
    <xf borderId="4" fillId="8" fontId="17" numFmtId="166" xfId="0" applyAlignment="1" applyBorder="1" applyFill="1" applyFont="1" applyNumberFormat="1">
      <alignment horizontal="left" readingOrder="0" shrinkToFit="0" vertical="top" wrapText="1"/>
    </xf>
    <xf borderId="7" fillId="7" fontId="1" numFmtId="0" xfId="0" applyAlignment="1" applyBorder="1" applyFill="1" applyFont="1">
      <alignment horizontal="left" shrinkToFit="0" vertical="top" wrapText="1"/>
    </xf>
    <xf borderId="4" fillId="8" fontId="7" numFmtId="0" xfId="0" applyAlignment="1" applyBorder="1" applyFill="1" applyFont="1">
      <alignment horizontal="left" readingOrder="0" shrinkToFit="0" vertical="top" wrapText="1"/>
    </xf>
    <xf borderId="7" fillId="8" fontId="1" numFmtId="0" xfId="0" applyAlignment="1" applyBorder="1" applyFill="1" applyFont="1">
      <alignment horizontal="left" shrinkToFit="0" vertical="top" wrapText="1"/>
    </xf>
    <xf borderId="4" fillId="8" fontId="20" numFmtId="0" xfId="0" applyAlignment="1" applyBorder="1" applyFill="1" applyFont="1">
      <alignment horizontal="left" readingOrder="0" shrinkToFit="0" vertical="top" wrapText="1"/>
    </xf>
    <xf borderId="30" fillId="0" fontId="7" numFmtId="0" xfId="0" applyAlignment="1" applyBorder="1" applyFont="1">
      <alignment readingOrder="0" shrinkToFit="0" vertical="top" wrapText="1"/>
    </xf>
    <xf borderId="30" fillId="0" fontId="1" numFmtId="0" xfId="0" applyAlignment="1" applyBorder="1" applyFont="1">
      <alignment shrinkToFit="0" vertical="top" wrapText="1"/>
    </xf>
    <xf borderId="7" fillId="0" fontId="1" numFmtId="0" xfId="0" applyAlignment="1" applyBorder="1" applyFont="1">
      <alignment shrinkToFit="0" vertical="top" wrapText="1"/>
    </xf>
    <xf borderId="7" fillId="0" fontId="7" numFmtId="0" xfId="0" applyAlignment="1" applyBorder="1" applyFont="1">
      <alignment shrinkToFit="0" vertical="top" wrapText="1"/>
    </xf>
    <xf borderId="7" fillId="0" fontId="14" numFmtId="0" xfId="0" applyAlignment="1" applyBorder="1" applyFont="1">
      <alignment shrinkToFit="0" vertical="top" wrapText="1"/>
    </xf>
    <xf borderId="4" fillId="7" fontId="7" numFmtId="0" xfId="0" applyAlignment="1" applyBorder="1" applyFill="1" applyFont="1">
      <alignment horizontal="left" readingOrder="0" shrinkToFit="0" vertical="top" wrapText="1"/>
    </xf>
    <xf borderId="7" fillId="0" fontId="14" numFmtId="0" xfId="0" applyAlignment="1" applyBorder="1" applyFont="1">
      <alignment shrinkToFit="0" vertical="bottom" wrapText="1"/>
    </xf>
    <xf borderId="30" fillId="7" fontId="7" numFmtId="0" xfId="0" applyAlignment="1" applyBorder="1" applyFill="1" applyFont="1">
      <alignment readingOrder="0" shrinkToFit="0" vertical="top" wrapText="1"/>
    </xf>
    <xf borderId="30" fillId="7" fontId="1" numFmtId="0" xfId="0" applyAlignment="1" applyBorder="1" applyFill="1" applyFont="1">
      <alignment shrinkToFit="0" vertical="top" wrapText="1"/>
    </xf>
    <xf borderId="7" fillId="7" fontId="1" numFmtId="0" xfId="0" applyAlignment="1" applyBorder="1" applyFill="1" applyFont="1">
      <alignment shrinkToFit="0" vertical="top" wrapText="1"/>
    </xf>
    <xf borderId="30" fillId="7" fontId="1" numFmtId="0" xfId="0" applyAlignment="1" applyBorder="1" applyFill="1" applyFont="1">
      <alignment readingOrder="0" shrinkToFit="0" vertical="top" wrapText="1"/>
    </xf>
    <xf borderId="4" fillId="7" fontId="7" numFmtId="0" xfId="0" applyAlignment="1" applyBorder="1" applyFill="1" applyFont="1">
      <alignment shrinkToFit="0" vertical="top" wrapText="1"/>
    </xf>
    <xf borderId="4" fillId="6" fontId="3" numFmtId="0" xfId="0" applyAlignment="1" applyBorder="1" applyFill="1" applyFont="1">
      <alignment horizontal="left" readingOrder="0" shrinkToFit="0" vertical="top" wrapText="1"/>
    </xf>
    <xf borderId="0" fillId="0" fontId="21" numFmtId="0" xfId="0" applyAlignment="1" applyFont="1">
      <alignment readingOrder="0" vertical="bottom"/>
    </xf>
    <xf borderId="4" fillId="6" fontId="1" numFmtId="0" xfId="0" applyAlignment="1" applyBorder="1" applyFill="1" applyFont="1">
      <alignment horizontal="left" shrinkToFit="0" vertical="top" wrapText="1"/>
    </xf>
    <xf borderId="4" fillId="6" fontId="1" numFmtId="166" xfId="0" applyAlignment="1" applyBorder="1" applyFill="1" applyFont="1" applyNumberFormat="1">
      <alignment horizontal="left" shrinkToFit="0" vertical="top" wrapText="1"/>
    </xf>
    <xf borderId="7" fillId="0" fontId="17" numFmtId="166" xfId="0" applyAlignment="1" applyBorder="1" applyFont="1" applyNumberFormat="1">
      <alignment horizontal="left" readingOrder="0" shrinkToFit="0" vertical="top" wrapText="1"/>
    </xf>
    <xf borderId="33" fillId="0" fontId="7" numFmtId="0" xfId="0" applyAlignment="1" applyBorder="1" applyFont="1">
      <alignment horizontal="left" readingOrder="0" shrinkToFit="0" vertical="top" wrapText="1"/>
    </xf>
    <xf borderId="0" fillId="0" fontId="1" numFmtId="165" xfId="0" applyAlignment="1" applyFont="1" applyNumberFormat="1">
      <alignment vertical="bottom"/>
    </xf>
    <xf borderId="4" fillId="0" fontId="7" numFmtId="2" xfId="0" applyAlignment="1" applyBorder="1" applyFont="1" applyNumberFormat="1">
      <alignment horizontal="left" readingOrder="0" shrinkToFit="0" vertical="top" wrapText="1"/>
    </xf>
    <xf borderId="33" fillId="0" fontId="7" numFmtId="0" xfId="0" applyAlignment="1" applyBorder="1" applyFont="1">
      <alignment horizontal="left" shrinkToFit="0" vertical="top" wrapText="1"/>
    </xf>
    <xf borderId="4" fillId="0" fontId="5" numFmtId="0" xfId="0" applyAlignment="1" applyBorder="1" applyFont="1">
      <alignment vertical="bottom"/>
    </xf>
    <xf borderId="4" fillId="2" fontId="22" numFmtId="0" xfId="0" applyAlignment="1" applyBorder="1" applyFill="1" applyFont="1">
      <alignment readingOrder="0" vertical="bottom"/>
    </xf>
    <xf borderId="4" fillId="7" fontId="23" numFmtId="0" xfId="0" applyAlignment="1" applyBorder="1" applyFill="1" applyFont="1">
      <alignment readingOrder="0" shrinkToFit="0" vertical="bottom" wrapText="1"/>
    </xf>
    <xf borderId="34" fillId="2" fontId="1" numFmtId="0" xfId="0" applyAlignment="1" applyBorder="1" applyFill="1" applyFont="1">
      <alignment vertical="bottom"/>
    </xf>
    <xf borderId="4" fillId="7" fontId="17" numFmtId="166" xfId="0" applyAlignment="1" applyBorder="1" applyFill="1" applyFont="1" applyNumberFormat="1">
      <alignment horizontal="left" readingOrder="0" shrinkToFit="0" vertical="top" wrapText="1"/>
    </xf>
    <xf borderId="35" fillId="2" fontId="1" numFmtId="0" xfId="0" applyAlignment="1" applyBorder="1" applyFill="1" applyFont="1">
      <alignment vertical="bottom"/>
    </xf>
    <xf borderId="34" fillId="0" fontId="1" numFmtId="0" xfId="0" applyAlignment="1" applyBorder="1" applyFont="1">
      <alignment vertical="bottom"/>
    </xf>
    <xf borderId="30" fillId="0" fontId="1" numFmtId="165" xfId="0" applyAlignment="1" applyBorder="1" applyFont="1" applyNumberFormat="1">
      <alignment vertical="bottom"/>
    </xf>
    <xf borderId="4" fillId="7" fontId="1" numFmtId="0" xfId="0" applyAlignment="1" applyBorder="1" applyFill="1" applyFont="1">
      <alignment horizontal="left" shrinkToFit="0" vertical="top" wrapText="1"/>
    </xf>
    <xf borderId="4" fillId="0" fontId="24" numFmtId="15" xfId="0" applyAlignment="1" applyBorder="1" applyFont="1" applyNumberFormat="1">
      <alignment readingOrder="0" shrinkToFit="0" vertical="top" wrapText="1"/>
    </xf>
    <xf borderId="4" fillId="0" fontId="7" numFmtId="0" xfId="0" applyAlignment="1" applyBorder="1" applyFont="1">
      <alignment shrinkToFit="0" vertical="top" wrapText="1"/>
    </xf>
    <xf borderId="0" fillId="0" fontId="1" numFmtId="15" xfId="0" applyAlignment="1" applyFont="1" applyNumberFormat="1">
      <alignment vertical="top"/>
    </xf>
    <xf borderId="4" fillId="0" fontId="14" numFmtId="0" xfId="0" applyAlignment="1" applyBorder="1" applyFont="1">
      <alignment shrinkToFit="0" vertical="bottom" wrapText="1"/>
    </xf>
    <xf borderId="4" fillId="0" fontId="7" numFmtId="0" xfId="0" applyAlignment="1" applyBorder="1" applyFont="1">
      <alignment horizontal="left" shrinkToFit="0" vertical="top" wrapText="1"/>
    </xf>
    <xf borderId="4" fillId="0" fontId="17" numFmtId="166" xfId="0" applyAlignment="1" applyBorder="1" applyFont="1" applyNumberFormat="1">
      <alignment horizontal="left" readingOrder="0" shrinkToFit="0" vertical="top" wrapText="1"/>
    </xf>
    <xf borderId="4" fillId="6" fontId="25" numFmtId="0" xfId="0" applyAlignment="1" applyBorder="1" applyFill="1" applyFont="1">
      <alignment horizontal="left" readingOrder="0" shrinkToFit="0" vertical="top" wrapText="1"/>
    </xf>
    <xf borderId="4" fillId="6" fontId="1" numFmtId="0" xfId="0" applyAlignment="1" applyBorder="1" applyFill="1" applyFont="1">
      <alignment horizontal="left" readingOrder="0" shrinkToFit="0" vertical="top" wrapText="1"/>
    </xf>
    <xf borderId="4" fillId="0" fontId="7" numFmtId="0" xfId="0" applyAlignment="1" applyBorder="1" applyFont="1">
      <alignment readingOrder="0" shrinkToFit="0" vertical="top" wrapText="1"/>
    </xf>
    <xf borderId="4" fillId="6" fontId="17" numFmtId="166" xfId="0" applyAlignment="1" applyBorder="1" applyFill="1" applyFont="1" applyNumberFormat="1">
      <alignment horizontal="left" readingOrder="0" shrinkToFit="0" vertical="top" wrapText="1"/>
    </xf>
    <xf borderId="36" fillId="0" fontId="1" numFmtId="0" xfId="0" applyAlignment="1" applyBorder="1" applyFont="1">
      <alignment vertical="bottom"/>
    </xf>
    <xf borderId="4" fillId="6" fontId="7" numFmtId="0" xfId="0" applyAlignment="1" applyBorder="1" applyFill="1" applyFont="1">
      <alignment horizontal="left" shrinkToFit="0" vertical="top" wrapText="1"/>
    </xf>
    <xf borderId="37" fillId="0" fontId="1" numFmtId="0" xfId="0" applyAlignment="1" applyBorder="1" applyFont="1">
      <alignment vertical="bottom"/>
    </xf>
    <xf borderId="2" fillId="0" fontId="1" numFmtId="0" xfId="0" applyAlignment="1" applyBorder="1" applyFont="1">
      <alignment vertical="bottom"/>
    </xf>
    <xf borderId="38" fillId="3" fontId="11" numFmtId="0" xfId="0" applyBorder="1" applyFill="1" applyFont="1"/>
    <xf borderId="4" fillId="8" fontId="1" numFmtId="0" xfId="0" applyAlignment="1" applyBorder="1" applyFill="1" applyFont="1">
      <alignment horizontal="left" readingOrder="0" shrinkToFit="0" vertical="top" wrapText="1"/>
    </xf>
    <xf borderId="39" fillId="3" fontId="11" numFmtId="0" xfId="0" applyBorder="1" applyFill="1" applyFont="1"/>
    <xf borderId="39" fillId="3" fontId="11" numFmtId="0" xfId="0" applyAlignment="1" applyBorder="1" applyFill="1" applyFont="1">
      <alignment horizontal="center" shrinkToFit="0" wrapText="1"/>
    </xf>
    <xf borderId="39" fillId="3" fontId="11" numFmtId="0" xfId="0" applyAlignment="1" applyBorder="1" applyFill="1" applyFont="1">
      <alignment horizontal="center"/>
    </xf>
    <xf borderId="40" fillId="3" fontId="11" numFmtId="0" xfId="0" applyAlignment="1" applyBorder="1" applyFill="1" applyFont="1">
      <alignment horizontal="center" shrinkToFit="0" vertical="bottom" wrapText="1"/>
    </xf>
    <xf borderId="41" fillId="0" fontId="5" numFmtId="0" xfId="0" applyAlignment="1" applyBorder="1" applyFont="1">
      <alignment shrinkToFit="0" wrapText="1"/>
    </xf>
    <xf borderId="1" fillId="2" fontId="22" numFmtId="0" xfId="0" applyAlignment="1" applyBorder="1" applyFill="1" applyFont="1">
      <alignment readingOrder="0" vertical="bottom"/>
    </xf>
    <xf borderId="4" fillId="7" fontId="26" numFmtId="0" xfId="0" applyAlignment="1" applyBorder="1" applyFill="1" applyFont="1">
      <alignment readingOrder="0" shrinkToFit="0" vertical="bottom" wrapText="1"/>
    </xf>
    <xf borderId="42" fillId="0" fontId="5" numFmtId="1" xfId="0" applyAlignment="1" applyBorder="1" applyFont="1" applyNumberFormat="1">
      <alignment horizontal="center" shrinkToFit="0" wrapText="1"/>
    </xf>
    <xf borderId="4" fillId="6" fontId="13" numFmtId="166" xfId="0" applyAlignment="1" applyBorder="1" applyFill="1" applyFont="1" applyNumberFormat="1">
      <alignment horizontal="left" shrinkToFit="0" vertical="top" wrapText="1"/>
    </xf>
    <xf borderId="4" fillId="6" fontId="13" numFmtId="166" xfId="0" applyAlignment="1" applyBorder="1" applyFill="1" applyFont="1" applyNumberFormat="1">
      <alignment horizontal="left" shrinkToFit="0" vertical="top" wrapText="1"/>
    </xf>
    <xf borderId="43" fillId="0" fontId="5" numFmtId="0" xfId="0" applyAlignment="1" applyBorder="1" applyFont="1">
      <alignment horizontal="center" shrinkToFit="0" wrapText="1"/>
    </xf>
    <xf borderId="4" fillId="6" fontId="1" numFmtId="0" xfId="0" applyAlignment="1" applyBorder="1" applyFill="1" applyFont="1">
      <alignment shrinkToFit="0" vertical="top" wrapText="1"/>
    </xf>
    <xf borderId="41" fillId="0" fontId="1" numFmtId="0" xfId="0" applyAlignment="1" applyBorder="1" applyFont="1">
      <alignment vertical="bottom"/>
    </xf>
    <xf borderId="43" fillId="0" fontId="1" numFmtId="0" xfId="0" applyAlignment="1" applyBorder="1" applyFont="1">
      <alignment vertical="bottom"/>
    </xf>
    <xf borderId="4" fillId="0" fontId="1" numFmtId="0" xfId="0" applyAlignment="1" applyBorder="1" applyFont="1">
      <alignment shrinkToFit="0" wrapText="1"/>
    </xf>
    <xf borderId="42" fillId="0" fontId="1" numFmtId="0" xfId="0" applyAlignment="1" applyBorder="1" applyFont="1">
      <alignment vertical="bottom"/>
    </xf>
    <xf borderId="44" fillId="3" fontId="1" numFmtId="0" xfId="0" applyAlignment="1" applyBorder="1" applyFill="1" applyFont="1">
      <alignment vertical="bottom"/>
    </xf>
    <xf borderId="45" fillId="3" fontId="11" numFmtId="0" xfId="0" applyAlignment="1" applyBorder="1" applyFill="1" applyFont="1">
      <alignment vertical="bottom"/>
    </xf>
    <xf borderId="4" fillId="8" fontId="16" numFmtId="0" xfId="0" applyAlignment="1" applyBorder="1" applyFill="1" applyFont="1">
      <alignment horizontal="left" readingOrder="0" shrinkToFit="0" vertical="top" wrapText="1"/>
    </xf>
    <xf borderId="0" fillId="6" fontId="9" numFmtId="0" xfId="0" applyAlignment="1" applyFill="1" applyFont="1">
      <alignment shrinkToFit="0" wrapText="1"/>
    </xf>
    <xf borderId="45" fillId="3" fontId="27" numFmtId="1" xfId="0" applyAlignment="1" applyBorder="1" applyFill="1" applyFont="1" applyNumberFormat="1">
      <alignment horizontal="center" vertical="bottom"/>
    </xf>
    <xf borderId="45" fillId="3" fontId="27" numFmtId="0" xfId="0" applyAlignment="1" applyBorder="1" applyFill="1" applyFont="1">
      <alignment horizontal="center" vertical="bottom"/>
    </xf>
    <xf borderId="4" fillId="8" fontId="9" numFmtId="0" xfId="0" applyAlignment="1" applyBorder="1" applyFill="1" applyFont="1">
      <alignment readingOrder="0" shrinkToFit="0" wrapText="1"/>
    </xf>
    <xf borderId="46" fillId="3" fontId="27" numFmtId="1" xfId="0" applyAlignment="1" applyBorder="1" applyFill="1" applyFont="1" applyNumberFormat="1">
      <alignment horizontal="center" vertical="bottom"/>
    </xf>
    <xf borderId="4" fillId="6" fontId="28" numFmtId="166" xfId="0" applyAlignment="1" applyBorder="1" applyFill="1" applyFont="1" applyNumberFormat="1">
      <alignment horizontal="left" readingOrder="0" shrinkToFit="0" vertical="top" wrapText="1"/>
    </xf>
    <xf borderId="4" fillId="6" fontId="25" numFmtId="0" xfId="0" applyAlignment="1" applyBorder="1" applyFill="1" applyFont="1">
      <alignment horizontal="left" shrinkToFit="0" vertical="top" wrapText="1"/>
    </xf>
    <xf borderId="4" fillId="8" fontId="29" numFmtId="0" xfId="0" applyAlignment="1" applyBorder="1" applyFill="1" applyFont="1">
      <alignment readingOrder="0" shrinkToFit="0" wrapText="1"/>
    </xf>
    <xf borderId="4" fillId="6" fontId="17" numFmtId="166" xfId="0" applyAlignment="1" applyBorder="1" applyFill="1" applyFont="1" applyNumberFormat="1">
      <alignment horizontal="left" readingOrder="0" shrinkToFit="0" vertical="top" wrapText="1"/>
    </xf>
    <xf borderId="4" fillId="0" fontId="30" numFmtId="166" xfId="0" applyAlignment="1" applyBorder="1" applyFont="1" applyNumberFormat="1">
      <alignment horizontal="left" readingOrder="0" shrinkToFit="0" wrapText="1"/>
    </xf>
    <xf borderId="4" fillId="0" fontId="7" numFmtId="0" xfId="0" applyAlignment="1" applyBorder="1" applyFont="1">
      <alignment horizontal="left" readingOrder="0" shrinkToFit="0" vertical="top" wrapText="1"/>
    </xf>
    <xf borderId="4" fillId="0" fontId="9" numFmtId="0" xfId="0" applyAlignment="1" applyBorder="1" applyFont="1">
      <alignment shrinkToFit="0" wrapText="1"/>
    </xf>
    <xf borderId="4" fillId="0" fontId="13" numFmtId="166" xfId="0" applyAlignment="1" applyBorder="1" applyFont="1" applyNumberFormat="1">
      <alignment horizontal="left" readingOrder="0" shrinkToFit="0" vertical="top" wrapText="1"/>
    </xf>
    <xf borderId="44" fillId="0" fontId="1" numFmtId="0" xfId="0" applyAlignment="1" applyBorder="1" applyFont="1">
      <alignment vertical="bottom"/>
    </xf>
    <xf borderId="45" fillId="0" fontId="1" numFmtId="0" xfId="0" applyAlignment="1" applyBorder="1" applyFont="1">
      <alignment vertical="bottom"/>
    </xf>
    <xf borderId="46" fillId="0" fontId="1" numFmtId="0" xfId="0" applyAlignment="1" applyBorder="1" applyFont="1">
      <alignment vertical="bottom"/>
    </xf>
    <xf borderId="47" fillId="3" fontId="1" numFmtId="0" xfId="0" applyAlignment="1" applyBorder="1" applyFill="1" applyFont="1">
      <alignment vertical="bottom"/>
    </xf>
    <xf borderId="4" fillId="8" fontId="17" numFmtId="166" xfId="0" applyAlignment="1" applyBorder="1" applyFill="1" applyFont="1" applyNumberFormat="1">
      <alignment horizontal="left" readingOrder="0" shrinkToFit="0" vertical="top" wrapText="1"/>
    </xf>
    <xf borderId="48" fillId="3" fontId="11" numFmtId="0" xfId="0" applyAlignment="1" applyBorder="1" applyFill="1" applyFont="1">
      <alignment vertical="bottom"/>
    </xf>
    <xf borderId="4" fillId="8" fontId="1" numFmtId="0" xfId="0" applyAlignment="1" applyBorder="1" applyFill="1" applyFont="1">
      <alignment horizontal="left" shrinkToFit="0" vertical="top" wrapText="1"/>
    </xf>
    <xf borderId="48" fillId="3" fontId="27" numFmtId="1" xfId="0" applyAlignment="1" applyBorder="1" applyFill="1" applyFont="1" applyNumberFormat="1">
      <alignment horizontal="center" vertical="bottom"/>
    </xf>
    <xf borderId="48" fillId="3" fontId="27" numFmtId="0" xfId="0" applyAlignment="1" applyBorder="1" applyFill="1" applyFont="1">
      <alignment horizontal="center" vertical="bottom"/>
    </xf>
    <xf borderId="49" fillId="3" fontId="27" numFmtId="1" xfId="0" applyAlignment="1" applyBorder="1" applyFill="1" applyFont="1" applyNumberFormat="1">
      <alignment horizontal="center" vertical="bottom"/>
    </xf>
    <xf borderId="0" fillId="0" fontId="1" numFmtId="1" xfId="0" applyAlignment="1" applyFont="1" applyNumberFormat="1">
      <alignment vertical="bottom"/>
    </xf>
    <xf borderId="4" fillId="0" fontId="24" numFmtId="15" xfId="0" applyAlignment="1" applyBorder="1" applyFont="1" applyNumberFormat="1">
      <alignment shrinkToFit="0" vertical="top" wrapText="1"/>
    </xf>
    <xf borderId="4" fillId="8" fontId="30" numFmtId="166" xfId="0" applyAlignment="1" applyBorder="1" applyFill="1" applyFont="1" applyNumberFormat="1">
      <alignment horizontal="left" readingOrder="0" shrinkToFit="0" wrapText="1"/>
    </xf>
    <xf borderId="4" fillId="8" fontId="9" numFmtId="0" xfId="0" applyAlignment="1" applyBorder="1" applyFill="1" applyFont="1">
      <alignment shrinkToFit="0" wrapText="1"/>
    </xf>
    <xf borderId="4" fillId="6" fontId="31" numFmtId="0" xfId="0" applyAlignment="1" applyBorder="1" applyFill="1" applyFont="1">
      <alignment readingOrder="0" shrinkToFit="0" wrapText="1"/>
    </xf>
    <xf borderId="4" fillId="6" fontId="9" numFmtId="0" xfId="0" applyAlignment="1" applyBorder="1" applyFill="1" applyFont="1">
      <alignment readingOrder="0"/>
    </xf>
    <xf borderId="4" fillId="6" fontId="9" numFmtId="0" xfId="0" applyAlignment="1" applyBorder="1" applyFill="1" applyFont="1">
      <alignment shrinkToFit="0" wrapText="1"/>
    </xf>
    <xf borderId="4" fillId="6" fontId="30" numFmtId="166" xfId="0" applyAlignment="1" applyBorder="1" applyFill="1" applyFont="1" applyNumberFormat="1">
      <alignment horizontal="left" shrinkToFit="0" wrapText="1"/>
    </xf>
    <xf borderId="50" fillId="0" fontId="1" numFmtId="0" xfId="0" applyAlignment="1" applyBorder="1" applyFont="1">
      <alignment vertical="bottom"/>
    </xf>
    <xf borderId="51" fillId="0" fontId="1" numFmtId="0" xfId="0" applyAlignment="1" applyBorder="1" applyFont="1">
      <alignment vertical="bottom"/>
    </xf>
    <xf borderId="52" fillId="3" fontId="11" numFmtId="0" xfId="0" applyBorder="1" applyFill="1" applyFont="1"/>
    <xf borderId="53" fillId="3" fontId="11" numFmtId="0" xfId="0" applyBorder="1" applyFill="1" applyFont="1"/>
    <xf borderId="54" fillId="3" fontId="11" numFmtId="0" xfId="0" applyAlignment="1" applyBorder="1" applyFill="1" applyFont="1">
      <alignment horizontal="center" shrinkToFit="0" vertical="bottom" wrapText="1"/>
    </xf>
    <xf borderId="55" fillId="0" fontId="5" numFmtId="0" xfId="0" applyAlignment="1" applyBorder="1" applyFont="1">
      <alignment shrinkToFit="0" wrapText="1"/>
    </xf>
    <xf borderId="33" fillId="0" fontId="1" numFmtId="0" xfId="0" applyAlignment="1" applyBorder="1" applyFont="1">
      <alignment horizontal="left" readingOrder="0" shrinkToFit="0" vertical="top" wrapText="1"/>
    </xf>
    <xf borderId="4" fillId="6" fontId="28" numFmtId="166" xfId="0" applyAlignment="1" applyBorder="1" applyFill="1" applyFont="1" applyNumberFormat="1">
      <alignment horizontal="left" readingOrder="0" shrinkToFit="0" vertical="top" wrapText="1"/>
    </xf>
    <xf borderId="19" fillId="2" fontId="22" numFmtId="0" xfId="0" applyAlignment="1" applyBorder="1" applyFill="1" applyFont="1">
      <alignment vertical="bottom"/>
    </xf>
    <xf borderId="56" fillId="0" fontId="5" numFmtId="1" xfId="0" applyAlignment="1" applyBorder="1" applyFont="1" applyNumberFormat="1">
      <alignment horizontal="center" shrinkToFit="0" wrapText="1"/>
    </xf>
    <xf borderId="57" fillId="0" fontId="5" numFmtId="1" xfId="0" applyAlignment="1" applyBorder="1" applyFont="1" applyNumberFormat="1">
      <alignment horizontal="center" shrinkToFit="0" wrapText="1"/>
    </xf>
    <xf borderId="0" fillId="0" fontId="9" numFmtId="0" xfId="0" applyAlignment="1" applyFont="1">
      <alignment readingOrder="0" shrinkToFit="0" wrapText="1"/>
    </xf>
    <xf borderId="58" fillId="0" fontId="5" numFmtId="1" xfId="0" applyAlignment="1" applyBorder="1" applyFont="1" applyNumberFormat="1">
      <alignment horizontal="center" shrinkToFit="0" wrapText="1"/>
    </xf>
    <xf borderId="59" fillId="0" fontId="5" numFmtId="0" xfId="0" applyAlignment="1" applyBorder="1" applyFont="1">
      <alignment horizontal="center" shrinkToFit="0" wrapText="1"/>
    </xf>
    <xf borderId="60" fillId="0" fontId="5" numFmtId="1" xfId="0" applyAlignment="1" applyBorder="1" applyFont="1" applyNumberFormat="1">
      <alignment horizontal="center" shrinkToFit="0" wrapText="1"/>
    </xf>
    <xf borderId="61" fillId="3" fontId="1" numFmtId="0" xfId="0" applyAlignment="1" applyBorder="1" applyFill="1" applyFont="1">
      <alignment vertical="bottom"/>
    </xf>
    <xf borderId="62" fillId="3" fontId="27" numFmtId="1" xfId="0" applyAlignment="1" applyBorder="1" applyFill="1" applyFont="1" applyNumberFormat="1">
      <alignment horizontal="center" vertical="bottom"/>
    </xf>
    <xf borderId="63" fillId="0" fontId="5" numFmtId="0" xfId="0" applyAlignment="1" applyBorder="1" applyFont="1">
      <alignment vertical="bottom"/>
    </xf>
    <xf borderId="4" fillId="0" fontId="13" numFmtId="166" xfId="0" applyAlignment="1" applyBorder="1" applyFont="1" applyNumberFormat="1">
      <alignment horizontal="left" readingOrder="0" shrinkToFit="0" vertical="top" wrapText="1"/>
    </xf>
    <xf borderId="34" fillId="0" fontId="32" numFmtId="2" xfId="0" applyAlignment="1" applyBorder="1" applyFont="1" applyNumberFormat="1">
      <alignment shrinkToFit="0" vertical="bottom" wrapText="1"/>
    </xf>
    <xf borderId="30" fillId="0" fontId="5" numFmtId="0" xfId="0" applyAlignment="1" applyBorder="1" applyFont="1">
      <alignment vertical="bottom"/>
    </xf>
    <xf borderId="64" fillId="0" fontId="5" numFmtId="0" xfId="0" applyAlignment="1" applyBorder="1" applyFont="1">
      <alignment vertical="bottom"/>
    </xf>
    <xf borderId="65" fillId="0" fontId="1" numFmtId="0" xfId="0" applyAlignment="1" applyBorder="1" applyFont="1">
      <alignment vertical="bottom"/>
    </xf>
    <xf borderId="65" fillId="0" fontId="32" numFmtId="2" xfId="0" applyAlignment="1" applyBorder="1" applyFont="1" applyNumberFormat="1">
      <alignment shrinkToFit="0" vertical="bottom" wrapText="1"/>
    </xf>
    <xf borderId="66" fillId="0" fontId="5" numFmtId="0" xfId="0" applyAlignment="1" applyBorder="1" applyFont="1">
      <alignment vertical="bottom"/>
    </xf>
    <xf borderId="67" fillId="0" fontId="1" numFmtId="0" xfId="0" applyAlignment="1" applyBorder="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49</xdr:row>
      <xdr:rowOff>0</xdr:rowOff>
    </xdr:from>
    <xdr:ext cx="3724275" cy="2028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dmingmail.com/" TargetMode="External"/><Relationship Id="rId2" Type="http://schemas.openxmlformats.org/officeDocument/2006/relationships/hyperlink" Target="https://drive.google.com/file/d/1Qpp7L2wtITDwfHYQSyNywjNsfAzhG2GL/view?usp=sharing" TargetMode="External"/><Relationship Id="rId3" Type="http://schemas.openxmlformats.org/officeDocument/2006/relationships/hyperlink" Target="https://drive.google.com/file/d/1xCl9LqKlaq8NOh1aW9L7odgHcQycPAoA/view?usp=sharing" TargetMode="External"/><Relationship Id="rId4" Type="http://schemas.openxmlformats.org/officeDocument/2006/relationships/hyperlink" Target="https://drive.google.com/file/d/1D4YZKF4AhRa6n8ujooZTpKbhC3CHc3Tp/view?usp=drive_link" TargetMode="External"/><Relationship Id="rId11" Type="http://schemas.openxmlformats.org/officeDocument/2006/relationships/hyperlink" Target="https://drive.google.com/file/d/1QHHFgwCPDatawyusex9LLANptWtARJoK/view?usp=drive_link" TargetMode="External"/><Relationship Id="rId10" Type="http://schemas.openxmlformats.org/officeDocument/2006/relationships/hyperlink" Target="https://drive.google.com/file/d/1UAJykhl0UYenEiX8d7biXKbtlCwzsRyE/view?usp=drive_link" TargetMode="External"/><Relationship Id="rId12" Type="http://schemas.openxmlformats.org/officeDocument/2006/relationships/drawing" Target="../drawings/drawing2.xml"/><Relationship Id="rId9" Type="http://schemas.openxmlformats.org/officeDocument/2006/relationships/hyperlink" Target="https://drive.google.com/file/d/1cIlIk7LIkTshJvBhnGZsEnY2WI77mYPl/view?usp=drive_link" TargetMode="External"/><Relationship Id="rId5" Type="http://schemas.openxmlformats.org/officeDocument/2006/relationships/hyperlink" Target="https://drive.google.com/file/d/1UJ5fqxv8F863MTSBydHyXgn1lC8Exswe/view?usp=drive_link" TargetMode="External"/><Relationship Id="rId6" Type="http://schemas.openxmlformats.org/officeDocument/2006/relationships/hyperlink" Target="https://drive.google.com/file/d/1KsnvOKBaBlZ1p88sxiimyrK-xf34tJTw/view?usp=drive_link" TargetMode="External"/><Relationship Id="rId7" Type="http://schemas.openxmlformats.org/officeDocument/2006/relationships/hyperlink" Target="https://drive.google.com/file/d/1Q_LxnjuSUQkR8HoMxuWz-CrOApT_nDnT/view?usp=drive_link" TargetMode="External"/><Relationship Id="rId8" Type="http://schemas.openxmlformats.org/officeDocument/2006/relationships/hyperlink" Target="https://drive.google.com/file/d/1X3m93Y_DW3VYLINzaY5lRrnkDvULqyc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swagmail.com/" TargetMode="External"/><Relationship Id="rId2" Type="http://schemas.openxmlformats.org/officeDocument/2006/relationships/hyperlink" Target="https://drive.google.com/file/d/1RCP6kapwxne6OTKLWfpPhRwLh3-etv2B/view?usp=drive_link" TargetMode="External"/><Relationship Id="rId3" Type="http://schemas.openxmlformats.org/officeDocument/2006/relationships/hyperlink" Target="https://drive.google.com/file/d/1GYB5gwK4NVdo_dF3xouf3pda_PZbfaPZ/view?usp=sharing" TargetMode="External"/><Relationship Id="rId4" Type="http://schemas.openxmlformats.org/officeDocument/2006/relationships/hyperlink" Target="https://drive.google.com/file/d/1GYB5gwK4NVdo_dF3xouf3pda_PZbfaPZ/view?usp=drive_link" TargetMode="External"/><Relationship Id="rId5" Type="http://schemas.openxmlformats.org/officeDocument/2006/relationships/hyperlink" Target="https://drive.google.com/file/d/1dErKFZY6jpNkW5fAOihfywOJzTxTP3Nf/view?usp=drive_link"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utorgmail.com/" TargetMode="External"/><Relationship Id="rId2" Type="http://schemas.openxmlformats.org/officeDocument/2006/relationships/hyperlink" Target="https://drive.google.com/file/d/1McipOL7Y5KqHw1Vit8-4NdxMj8JhSZVu/view?usp=drive_link" TargetMode="External"/><Relationship Id="rId3" Type="http://schemas.openxmlformats.org/officeDocument/2006/relationships/hyperlink" Target="https://drive.google.com/file/d/1jxuy6h50tIyNkw3tKZl7R8v3WJkzjzXF/view?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16.13"/>
    <col customWidth="1" min="4" max="4" width="16.38"/>
    <col customWidth="1" min="5" max="5" width="19.88"/>
    <col customWidth="1" min="6" max="6" width="18.5"/>
  </cols>
  <sheetData>
    <row r="1">
      <c r="B1" s="1"/>
      <c r="C1" s="1"/>
      <c r="D1" s="1"/>
      <c r="E1" s="1"/>
    </row>
    <row r="2">
      <c r="B2" s="2" t="s">
        <v>0</v>
      </c>
      <c r="C2" s="3"/>
      <c r="D2" s="3"/>
      <c r="E2" s="3"/>
    </row>
    <row r="3">
      <c r="B3" s="5" t="s">
        <v>1</v>
      </c>
      <c r="C3" s="7" t="s">
        <v>2</v>
      </c>
      <c r="D3" s="3"/>
      <c r="E3" s="3"/>
    </row>
    <row r="4">
      <c r="B4" s="5" t="s">
        <v>3</v>
      </c>
      <c r="C4" s="10">
        <v>46268.0</v>
      </c>
      <c r="D4" s="12"/>
      <c r="E4" s="3"/>
    </row>
    <row r="5">
      <c r="B5" s="3"/>
      <c r="C5" s="3"/>
      <c r="D5" s="3"/>
      <c r="E5" s="3"/>
    </row>
    <row r="6">
      <c r="B6" s="5" t="s">
        <v>5</v>
      </c>
      <c r="C6" s="20" t="s">
        <v>6</v>
      </c>
      <c r="D6" s="23"/>
      <c r="E6" s="27"/>
    </row>
    <row r="7">
      <c r="B7" s="5" t="s">
        <v>9</v>
      </c>
      <c r="C7" s="20" t="s">
        <v>10</v>
      </c>
      <c r="D7" s="23"/>
      <c r="E7" s="27"/>
    </row>
    <row r="10">
      <c r="B10" s="34" t="s">
        <v>12</v>
      </c>
    </row>
    <row r="11">
      <c r="B11" s="37" t="s">
        <v>15</v>
      </c>
      <c r="C11" s="39" t="s">
        <v>17</v>
      </c>
      <c r="D11" s="39" t="s">
        <v>18</v>
      </c>
      <c r="E11" s="39" t="s">
        <v>19</v>
      </c>
      <c r="F11" s="39" t="s">
        <v>20</v>
      </c>
      <c r="G11" s="42" t="s">
        <v>21</v>
      </c>
      <c r="H11" s="44" t="s">
        <v>22</v>
      </c>
    </row>
    <row r="12">
      <c r="B12" s="47">
        <v>46268.0</v>
      </c>
      <c r="C12" s="49" t="s">
        <v>2</v>
      </c>
      <c r="D12" s="52" t="s">
        <v>26</v>
      </c>
      <c r="E12" s="53" t="s">
        <v>27</v>
      </c>
      <c r="F12" s="53" t="s">
        <v>28</v>
      </c>
      <c r="G12" s="56" t="s">
        <v>29</v>
      </c>
      <c r="H12" s="57" t="s">
        <v>31</v>
      </c>
    </row>
    <row r="13">
      <c r="B13" s="58"/>
      <c r="C13" s="61"/>
      <c r="D13" s="64"/>
      <c r="E13" s="66"/>
      <c r="F13" s="66"/>
      <c r="G13" s="69"/>
      <c r="H13" s="70"/>
    </row>
    <row r="14">
      <c r="B14" s="73"/>
      <c r="C14" s="61"/>
      <c r="D14" s="64"/>
      <c r="E14" s="66"/>
      <c r="F14" s="66"/>
      <c r="G14" s="76"/>
      <c r="H14" s="70"/>
    </row>
    <row r="15">
      <c r="B15" s="73"/>
      <c r="C15" s="61"/>
      <c r="D15" s="64"/>
      <c r="E15" s="64"/>
      <c r="F15" s="64"/>
      <c r="G15" s="64"/>
      <c r="H15" s="70"/>
    </row>
    <row r="16">
      <c r="B16" s="73"/>
      <c r="C16" s="61"/>
      <c r="D16" s="64"/>
      <c r="E16" s="64"/>
      <c r="F16" s="64"/>
      <c r="G16" s="64"/>
      <c r="H16" s="70"/>
    </row>
    <row r="17">
      <c r="B17" s="73"/>
      <c r="C17" s="61"/>
      <c r="D17" s="64"/>
      <c r="E17" s="64"/>
      <c r="F17" s="64"/>
      <c r="G17" s="64"/>
      <c r="H17" s="70"/>
    </row>
    <row r="18">
      <c r="B18" s="73"/>
      <c r="C18" s="61"/>
      <c r="D18" s="64"/>
      <c r="E18" s="64"/>
      <c r="F18" s="64"/>
      <c r="G18" s="64"/>
      <c r="H18" s="70"/>
    </row>
    <row r="19">
      <c r="B19" s="73"/>
      <c r="C19" s="61"/>
      <c r="D19" s="64"/>
      <c r="E19" s="64"/>
      <c r="F19" s="64"/>
      <c r="G19" s="64"/>
      <c r="H19" s="70"/>
    </row>
    <row r="20">
      <c r="B20" s="73"/>
      <c r="C20" s="61"/>
      <c r="D20" s="64"/>
      <c r="E20" s="64"/>
      <c r="F20" s="64"/>
      <c r="G20" s="64"/>
      <c r="H20" s="70"/>
    </row>
    <row r="21">
      <c r="B21" s="73"/>
      <c r="C21" s="61"/>
      <c r="D21" s="64"/>
      <c r="E21" s="64"/>
      <c r="F21" s="64"/>
      <c r="G21" s="64"/>
      <c r="H21" s="70"/>
    </row>
    <row r="22">
      <c r="B22" s="73"/>
      <c r="C22" s="61"/>
      <c r="D22" s="64"/>
      <c r="E22" s="64"/>
      <c r="F22" s="64"/>
      <c r="G22" s="64"/>
      <c r="H22" s="70"/>
    </row>
    <row r="23">
      <c r="B23" s="87"/>
      <c r="C23" s="89"/>
      <c r="D23" s="92"/>
      <c r="E23" s="92"/>
      <c r="F23" s="92"/>
      <c r="G23" s="92"/>
      <c r="H23" s="94"/>
    </row>
  </sheetData>
  <mergeCells count="2">
    <mergeCell ref="C6:E6"/>
    <mergeCell ref="C7:E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6.75"/>
    <col customWidth="1" min="3" max="3" width="60.13"/>
    <col customWidth="1" min="4" max="4" width="38.5"/>
    <col customWidth="1" min="5" max="5" width="25.13"/>
    <col customWidth="1" min="6" max="6" width="18.75"/>
    <col customWidth="1" min="7" max="7" width="15.0"/>
    <col customWidth="1" min="8" max="8" width="25.25"/>
    <col customWidth="1" min="9" max="9" width="49.0"/>
  </cols>
  <sheetData>
    <row r="1">
      <c r="A1" s="4" t="s">
        <v>0</v>
      </c>
      <c r="B1" s="6"/>
      <c r="C1" s="8"/>
      <c r="D1" s="6"/>
      <c r="E1" s="6"/>
      <c r="F1" s="6"/>
      <c r="G1" s="6"/>
      <c r="H1" s="6"/>
      <c r="I1" s="11"/>
    </row>
    <row r="2">
      <c r="A2" s="14" t="s">
        <v>4</v>
      </c>
      <c r="B2" s="17" t="s">
        <v>6</v>
      </c>
      <c r="C2" s="19"/>
      <c r="D2" s="22"/>
      <c r="E2" s="11"/>
      <c r="F2" s="6"/>
      <c r="G2" s="6"/>
      <c r="H2" s="6"/>
      <c r="I2" s="11"/>
    </row>
    <row r="3">
      <c r="A3" s="25" t="s">
        <v>7</v>
      </c>
      <c r="B3" s="17" t="s">
        <v>8</v>
      </c>
      <c r="C3" s="19"/>
      <c r="D3" s="22"/>
      <c r="E3" s="11"/>
      <c r="F3" s="6"/>
      <c r="G3" s="6"/>
      <c r="H3" s="6"/>
      <c r="I3" s="11"/>
    </row>
    <row r="4">
      <c r="A4" s="25" t="s">
        <v>11</v>
      </c>
      <c r="B4" s="29"/>
      <c r="C4" s="31"/>
      <c r="D4" s="32"/>
      <c r="E4" s="33"/>
      <c r="F4" s="11"/>
      <c r="G4" s="11"/>
      <c r="H4" s="11"/>
      <c r="I4" s="11"/>
    </row>
    <row r="5">
      <c r="A5" s="36" t="s">
        <v>14</v>
      </c>
      <c r="B5" s="48">
        <f>COUNTIF(G:G,"Pass")</f>
        <v>68</v>
      </c>
      <c r="C5" s="50" t="s">
        <v>25</v>
      </c>
      <c r="D5" s="54">
        <f>COUNTIF(G:G,"Pending")</f>
        <v>0</v>
      </c>
      <c r="E5" s="33"/>
      <c r="F5" s="6"/>
      <c r="G5" s="6"/>
      <c r="H5" s="6"/>
      <c r="I5" s="11"/>
    </row>
    <row r="6">
      <c r="A6" s="36" t="s">
        <v>30</v>
      </c>
      <c r="B6" s="54">
        <f>COUNTIF(G:G,"Fail")</f>
        <v>5</v>
      </c>
      <c r="C6" s="60" t="s">
        <v>32</v>
      </c>
      <c r="D6" s="65">
        <f>COUNTIF(A:A,"*TC*")</f>
        <v>73</v>
      </c>
      <c r="E6" s="67"/>
      <c r="F6" s="68"/>
      <c r="G6" s="68"/>
      <c r="H6" s="68"/>
      <c r="I6" s="11"/>
    </row>
    <row r="7">
      <c r="A7" s="71"/>
      <c r="B7" s="72"/>
      <c r="C7" s="72"/>
      <c r="D7" s="72"/>
      <c r="E7" s="72"/>
      <c r="F7" s="74"/>
      <c r="G7" s="74"/>
      <c r="H7" s="74"/>
      <c r="I7" s="77"/>
    </row>
    <row r="8">
      <c r="A8" s="78" t="s">
        <v>33</v>
      </c>
      <c r="B8" s="80" t="s">
        <v>34</v>
      </c>
      <c r="C8" s="78" t="s">
        <v>35</v>
      </c>
      <c r="D8" s="82" t="s">
        <v>36</v>
      </c>
      <c r="E8" s="83" t="s">
        <v>37</v>
      </c>
      <c r="F8" s="84" t="s">
        <v>38</v>
      </c>
      <c r="G8" s="85" t="s">
        <v>39</v>
      </c>
      <c r="H8" s="86" t="s">
        <v>40</v>
      </c>
      <c r="I8" s="85" t="s">
        <v>41</v>
      </c>
    </row>
    <row r="9">
      <c r="A9" s="91"/>
      <c r="B9" s="19"/>
      <c r="C9" s="19"/>
      <c r="D9" s="19"/>
      <c r="E9" s="19"/>
      <c r="F9" s="19"/>
      <c r="G9" s="19"/>
      <c r="H9" s="19"/>
      <c r="I9" s="22"/>
    </row>
    <row r="10">
      <c r="A10" s="96" t="s">
        <v>43</v>
      </c>
      <c r="B10" s="99"/>
      <c r="C10" s="99"/>
      <c r="D10" s="99"/>
      <c r="E10" s="99"/>
      <c r="F10" s="99"/>
      <c r="G10" s="99"/>
      <c r="H10" s="99"/>
      <c r="I10" s="99"/>
    </row>
    <row r="11">
      <c r="A11" s="100" t="s">
        <v>44</v>
      </c>
      <c r="B11" s="102" t="s">
        <v>45</v>
      </c>
      <c r="C11" s="104" t="s">
        <v>46</v>
      </c>
      <c r="D11" s="102" t="s">
        <v>47</v>
      </c>
      <c r="E11" s="104" t="s">
        <v>48</v>
      </c>
      <c r="F11" s="106">
        <v>46268.0</v>
      </c>
      <c r="G11" s="104" t="s">
        <v>14</v>
      </c>
      <c r="H11" s="108"/>
      <c r="I11" s="108"/>
    </row>
    <row r="12" ht="90.0" customHeight="1">
      <c r="A12" s="100" t="s">
        <v>49</v>
      </c>
      <c r="B12" s="102" t="s">
        <v>50</v>
      </c>
      <c r="C12" s="104" t="s">
        <v>51</v>
      </c>
      <c r="D12" s="102" t="s">
        <v>52</v>
      </c>
      <c r="E12" s="104" t="s">
        <v>53</v>
      </c>
      <c r="F12" s="106">
        <v>46268.0</v>
      </c>
      <c r="G12" s="104" t="s">
        <v>14</v>
      </c>
      <c r="H12" s="108"/>
      <c r="I12" s="108"/>
    </row>
    <row r="13">
      <c r="A13" s="100" t="s">
        <v>54</v>
      </c>
      <c r="B13" s="102" t="s">
        <v>55</v>
      </c>
      <c r="C13" s="104" t="s">
        <v>56</v>
      </c>
      <c r="D13" s="102" t="s">
        <v>57</v>
      </c>
      <c r="E13" s="104" t="s">
        <v>58</v>
      </c>
      <c r="F13" s="106">
        <v>46268.0</v>
      </c>
      <c r="G13" s="104" t="s">
        <v>14</v>
      </c>
      <c r="H13" s="108"/>
      <c r="I13" s="108"/>
    </row>
    <row r="14">
      <c r="A14" s="100" t="s">
        <v>59</v>
      </c>
      <c r="B14" s="102" t="s">
        <v>60</v>
      </c>
      <c r="C14" s="104" t="s">
        <v>61</v>
      </c>
      <c r="D14" s="126" t="s">
        <v>62</v>
      </c>
      <c r="E14" s="104" t="s">
        <v>63</v>
      </c>
      <c r="F14" s="106">
        <v>46268.0</v>
      </c>
      <c r="G14" s="104" t="s">
        <v>14</v>
      </c>
      <c r="H14" s="108"/>
      <c r="I14" s="108"/>
    </row>
    <row r="15" ht="74.25" customHeight="1">
      <c r="A15" s="127" t="s">
        <v>64</v>
      </c>
      <c r="B15" s="128" t="s">
        <v>65</v>
      </c>
      <c r="C15" s="129" t="s">
        <v>67</v>
      </c>
      <c r="D15" s="128" t="s">
        <v>68</v>
      </c>
      <c r="E15" s="129" t="s">
        <v>69</v>
      </c>
      <c r="F15" s="130">
        <v>46268.0</v>
      </c>
      <c r="G15" s="129" t="s">
        <v>14</v>
      </c>
      <c r="H15" s="129" t="s">
        <v>70</v>
      </c>
      <c r="I15" s="133" t="s">
        <v>71</v>
      </c>
    </row>
    <row r="16">
      <c r="A16" s="134" t="s">
        <v>74</v>
      </c>
      <c r="B16" s="135" t="s">
        <v>75</v>
      </c>
      <c r="C16" s="104" t="s">
        <v>76</v>
      </c>
      <c r="D16" s="136" t="s">
        <v>77</v>
      </c>
      <c r="E16" s="104" t="s">
        <v>48</v>
      </c>
      <c r="F16" s="106">
        <v>46268.0</v>
      </c>
      <c r="G16" s="104" t="s">
        <v>14</v>
      </c>
      <c r="H16" s="104"/>
      <c r="I16" s="108"/>
    </row>
    <row r="17" ht="77.25" customHeight="1">
      <c r="A17" s="134" t="s">
        <v>78</v>
      </c>
      <c r="B17" s="135" t="s">
        <v>79</v>
      </c>
      <c r="C17" s="104" t="s">
        <v>80</v>
      </c>
      <c r="D17" s="137" t="s">
        <v>81</v>
      </c>
      <c r="E17" s="104" t="s">
        <v>48</v>
      </c>
      <c r="F17" s="106">
        <v>46268.0</v>
      </c>
      <c r="G17" s="104" t="s">
        <v>14</v>
      </c>
      <c r="H17" s="104"/>
      <c r="I17" s="108"/>
    </row>
    <row r="18" ht="86.25" customHeight="1">
      <c r="A18" s="134" t="s">
        <v>82</v>
      </c>
      <c r="B18" s="135" t="s">
        <v>83</v>
      </c>
      <c r="C18" s="104" t="s">
        <v>84</v>
      </c>
      <c r="D18" s="137" t="s">
        <v>85</v>
      </c>
      <c r="E18" s="104" t="s">
        <v>58</v>
      </c>
      <c r="F18" s="106">
        <v>46268.0</v>
      </c>
      <c r="G18" s="104" t="s">
        <v>14</v>
      </c>
      <c r="H18" s="104"/>
      <c r="I18" s="108"/>
    </row>
    <row r="19" ht="100.5" customHeight="1">
      <c r="A19" s="134" t="s">
        <v>86</v>
      </c>
      <c r="B19" s="135" t="s">
        <v>87</v>
      </c>
      <c r="C19" s="104" t="s">
        <v>88</v>
      </c>
      <c r="D19" s="137" t="s">
        <v>89</v>
      </c>
      <c r="E19" s="104" t="s">
        <v>58</v>
      </c>
      <c r="F19" s="106">
        <v>46268.0</v>
      </c>
      <c r="G19" s="104" t="s">
        <v>14</v>
      </c>
      <c r="H19" s="104"/>
      <c r="I19" s="108"/>
    </row>
    <row r="20" ht="101.25" customHeight="1">
      <c r="A20" s="134" t="s">
        <v>90</v>
      </c>
      <c r="B20" s="135" t="s">
        <v>91</v>
      </c>
      <c r="C20" s="104" t="s">
        <v>92</v>
      </c>
      <c r="D20" s="135" t="s">
        <v>93</v>
      </c>
      <c r="E20" s="104" t="s">
        <v>94</v>
      </c>
      <c r="F20" s="106">
        <v>46268.0</v>
      </c>
      <c r="G20" s="104" t="s">
        <v>14</v>
      </c>
      <c r="H20" s="104"/>
      <c r="I20" s="108"/>
    </row>
    <row r="21" ht="146.25" customHeight="1">
      <c r="A21" s="134" t="s">
        <v>95</v>
      </c>
      <c r="B21" s="102" t="s">
        <v>97</v>
      </c>
      <c r="C21" s="104" t="s">
        <v>98</v>
      </c>
      <c r="D21" s="102" t="s">
        <v>99</v>
      </c>
      <c r="E21" s="104" t="s">
        <v>100</v>
      </c>
      <c r="F21" s="139">
        <v>46268.0</v>
      </c>
      <c r="G21" s="140" t="s">
        <v>14</v>
      </c>
      <c r="H21" s="108"/>
      <c r="I21" s="108"/>
    </row>
    <row r="22" ht="150.0" customHeight="1">
      <c r="A22" s="127" t="s">
        <v>101</v>
      </c>
      <c r="B22" s="128" t="s">
        <v>102</v>
      </c>
      <c r="C22" s="129" t="s">
        <v>103</v>
      </c>
      <c r="D22" s="128" t="s">
        <v>104</v>
      </c>
      <c r="E22" s="129" t="s">
        <v>105</v>
      </c>
      <c r="F22" s="141">
        <v>46268.0</v>
      </c>
      <c r="G22" s="142" t="s">
        <v>14</v>
      </c>
      <c r="H22" s="129" t="s">
        <v>107</v>
      </c>
      <c r="I22" s="143" t="s">
        <v>108</v>
      </c>
    </row>
    <row r="23" ht="117.75" customHeight="1">
      <c r="A23" s="134" t="s">
        <v>109</v>
      </c>
      <c r="B23" s="102" t="s">
        <v>110</v>
      </c>
      <c r="C23" s="104" t="s">
        <v>111</v>
      </c>
      <c r="D23" s="102" t="s">
        <v>112</v>
      </c>
      <c r="E23" s="104" t="s">
        <v>113</v>
      </c>
      <c r="F23" s="145">
        <v>46268.0</v>
      </c>
      <c r="G23" s="146" t="s">
        <v>14</v>
      </c>
      <c r="H23" s="108"/>
      <c r="I23" s="63"/>
    </row>
    <row r="24" ht="150.75" customHeight="1">
      <c r="A24" s="148" t="s">
        <v>114</v>
      </c>
      <c r="B24" s="149" t="s">
        <v>115</v>
      </c>
      <c r="C24" s="150" t="s">
        <v>116</v>
      </c>
      <c r="D24" s="149" t="s">
        <v>117</v>
      </c>
      <c r="E24" s="150" t="s">
        <v>118</v>
      </c>
      <c r="F24" s="153">
        <v>46268.0</v>
      </c>
      <c r="G24" s="155" t="s">
        <v>30</v>
      </c>
      <c r="H24" s="156"/>
      <c r="I24" s="157" t="s">
        <v>120</v>
      </c>
    </row>
    <row r="25" ht="150.75" customHeight="1">
      <c r="A25" s="134" t="s">
        <v>123</v>
      </c>
      <c r="B25" s="102" t="s">
        <v>124</v>
      </c>
      <c r="C25" s="104" t="s">
        <v>125</v>
      </c>
      <c r="D25" s="102" t="s">
        <v>126</v>
      </c>
      <c r="E25" s="104" t="s">
        <v>127</v>
      </c>
      <c r="F25" s="145">
        <v>46268.0</v>
      </c>
      <c r="G25" s="146" t="s">
        <v>14</v>
      </c>
      <c r="H25" s="108"/>
      <c r="I25" s="63"/>
    </row>
    <row r="26" ht="150.75" customHeight="1">
      <c r="A26" s="134" t="s">
        <v>128</v>
      </c>
      <c r="B26" s="102" t="s">
        <v>129</v>
      </c>
      <c r="C26" s="104" t="s">
        <v>130</v>
      </c>
      <c r="D26" s="102" t="s">
        <v>131</v>
      </c>
      <c r="E26" s="104" t="s">
        <v>132</v>
      </c>
      <c r="F26" s="145">
        <v>46268.0</v>
      </c>
      <c r="G26" s="146" t="s">
        <v>14</v>
      </c>
      <c r="H26" s="108"/>
      <c r="I26" s="63"/>
    </row>
    <row r="27" ht="150.75" customHeight="1">
      <c r="A27" s="127" t="s">
        <v>133</v>
      </c>
      <c r="B27" s="128" t="s">
        <v>134</v>
      </c>
      <c r="C27" s="129" t="s">
        <v>135</v>
      </c>
      <c r="D27" s="128" t="s">
        <v>136</v>
      </c>
      <c r="E27" s="129" t="s">
        <v>137</v>
      </c>
      <c r="F27" s="141">
        <v>46268.0</v>
      </c>
      <c r="G27" s="163" t="s">
        <v>14</v>
      </c>
      <c r="H27" s="129" t="s">
        <v>138</v>
      </c>
      <c r="I27" s="143" t="s">
        <v>139</v>
      </c>
    </row>
    <row r="28">
      <c r="A28" s="170" t="s">
        <v>142</v>
      </c>
      <c r="B28" s="172"/>
      <c r="C28" s="172"/>
      <c r="D28" s="172"/>
      <c r="E28" s="172"/>
      <c r="F28" s="173"/>
      <c r="G28" s="172"/>
      <c r="H28" s="172"/>
      <c r="I28" s="172"/>
    </row>
    <row r="29" ht="66.0" customHeight="1">
      <c r="A29" s="175" t="s">
        <v>145</v>
      </c>
      <c r="B29" s="175" t="s">
        <v>146</v>
      </c>
      <c r="C29" s="177" t="s">
        <v>147</v>
      </c>
      <c r="D29" s="178" t="s">
        <v>148</v>
      </c>
      <c r="E29" s="146" t="s">
        <v>149</v>
      </c>
      <c r="F29" s="145">
        <v>46268.0</v>
      </c>
      <c r="G29" s="146" t="s">
        <v>14</v>
      </c>
      <c r="H29" s="63"/>
      <c r="I29" s="63"/>
    </row>
    <row r="30" ht="128.25" customHeight="1">
      <c r="A30" s="175" t="s">
        <v>151</v>
      </c>
      <c r="B30" s="175" t="s">
        <v>152</v>
      </c>
      <c r="C30" s="177" t="s">
        <v>153</v>
      </c>
      <c r="D30" s="175" t="s">
        <v>148</v>
      </c>
      <c r="E30" s="146" t="s">
        <v>155</v>
      </c>
      <c r="F30" s="145">
        <v>46268.0</v>
      </c>
      <c r="G30" s="146" t="s">
        <v>14</v>
      </c>
      <c r="H30" s="63"/>
      <c r="I30" s="63"/>
    </row>
    <row r="31">
      <c r="A31" s="175" t="s">
        <v>157</v>
      </c>
      <c r="B31" s="175" t="s">
        <v>158</v>
      </c>
      <c r="C31" s="177" t="s">
        <v>153</v>
      </c>
      <c r="D31" s="178" t="s">
        <v>148</v>
      </c>
      <c r="E31" s="146" t="s">
        <v>159</v>
      </c>
      <c r="F31" s="145">
        <v>46268.0</v>
      </c>
      <c r="G31" s="146" t="s">
        <v>14</v>
      </c>
      <c r="H31" s="63"/>
      <c r="I31" s="63"/>
    </row>
    <row r="32">
      <c r="A32" s="175" t="s">
        <v>160</v>
      </c>
      <c r="B32" s="175" t="s">
        <v>161</v>
      </c>
      <c r="C32" s="177" t="s">
        <v>153</v>
      </c>
      <c r="D32" s="178" t="s">
        <v>148</v>
      </c>
      <c r="E32" s="146" t="s">
        <v>162</v>
      </c>
      <c r="F32" s="145">
        <v>46268.0</v>
      </c>
      <c r="G32" s="146" t="s">
        <v>14</v>
      </c>
      <c r="H32" s="63"/>
      <c r="I32" s="63"/>
    </row>
    <row r="33" ht="192.0" customHeight="1">
      <c r="A33" s="175" t="s">
        <v>163</v>
      </c>
      <c r="B33" s="175" t="s">
        <v>164</v>
      </c>
      <c r="C33" s="177" t="s">
        <v>147</v>
      </c>
      <c r="D33" s="175" t="s">
        <v>148</v>
      </c>
      <c r="E33" s="146" t="s">
        <v>166</v>
      </c>
      <c r="F33" s="145">
        <v>46268.0</v>
      </c>
      <c r="G33" s="146" t="s">
        <v>14</v>
      </c>
      <c r="H33" s="63"/>
      <c r="I33" s="63"/>
    </row>
    <row r="34" ht="192.0" customHeight="1">
      <c r="A34" s="175" t="s">
        <v>168</v>
      </c>
      <c r="B34" s="175" t="s">
        <v>169</v>
      </c>
      <c r="C34" s="177" t="s">
        <v>170</v>
      </c>
      <c r="D34" s="175" t="s">
        <v>148</v>
      </c>
      <c r="E34" s="146" t="s">
        <v>171</v>
      </c>
      <c r="F34" s="145">
        <v>46268.0</v>
      </c>
      <c r="G34" s="146" t="s">
        <v>14</v>
      </c>
      <c r="H34" s="63"/>
      <c r="I34" s="63"/>
    </row>
    <row r="35">
      <c r="A35" s="170" t="s">
        <v>172</v>
      </c>
      <c r="B35" s="172"/>
      <c r="C35" s="172"/>
      <c r="D35" s="172"/>
      <c r="E35" s="172"/>
      <c r="F35" s="173"/>
      <c r="G35" s="172"/>
      <c r="H35" s="172"/>
      <c r="I35" s="172"/>
    </row>
    <row r="36">
      <c r="A36" s="136" t="s">
        <v>173</v>
      </c>
      <c r="B36" s="136" t="s">
        <v>174</v>
      </c>
      <c r="C36" s="136" t="s">
        <v>175</v>
      </c>
      <c r="D36" s="63" t="s">
        <v>148</v>
      </c>
      <c r="E36" s="136" t="s">
        <v>176</v>
      </c>
      <c r="F36" s="145">
        <v>46268.0</v>
      </c>
      <c r="G36" s="192" t="s">
        <v>14</v>
      </c>
      <c r="H36" s="63"/>
      <c r="I36" s="63"/>
    </row>
    <row r="37" ht="15.0" customHeight="1">
      <c r="A37" s="194" t="s">
        <v>178</v>
      </c>
      <c r="B37" s="195"/>
      <c r="C37" s="195"/>
      <c r="D37" s="195"/>
      <c r="E37" s="195"/>
      <c r="F37" s="197"/>
      <c r="G37" s="199"/>
      <c r="H37" s="172"/>
      <c r="I37" s="172"/>
    </row>
    <row r="38" ht="206.25" customHeight="1">
      <c r="A38" s="146" t="s">
        <v>179</v>
      </c>
      <c r="B38" s="136" t="s">
        <v>180</v>
      </c>
      <c r="C38" s="136" t="s">
        <v>181</v>
      </c>
      <c r="D38" s="136" t="s">
        <v>182</v>
      </c>
      <c r="E38" s="136" t="s">
        <v>184</v>
      </c>
      <c r="F38" s="145">
        <v>46268.0</v>
      </c>
      <c r="G38" s="192" t="s">
        <v>14</v>
      </c>
      <c r="H38" s="63"/>
      <c r="I38" s="63"/>
    </row>
    <row r="39">
      <c r="A39" s="155" t="s">
        <v>186</v>
      </c>
      <c r="B39" s="203" t="s">
        <v>187</v>
      </c>
      <c r="C39" s="203" t="s">
        <v>189</v>
      </c>
      <c r="D39" s="203" t="s">
        <v>190</v>
      </c>
      <c r="E39" s="203" t="s">
        <v>184</v>
      </c>
      <c r="F39" s="153">
        <v>46268.0</v>
      </c>
      <c r="G39" s="155" t="s">
        <v>30</v>
      </c>
      <c r="H39" s="203" t="s">
        <v>191</v>
      </c>
      <c r="I39" s="157" t="s">
        <v>192</v>
      </c>
    </row>
    <row r="40" ht="252.75" customHeight="1">
      <c r="A40" s="146" t="s">
        <v>194</v>
      </c>
      <c r="B40" s="136" t="s">
        <v>195</v>
      </c>
      <c r="C40" s="136" t="s">
        <v>196</v>
      </c>
      <c r="D40" s="136" t="s">
        <v>197</v>
      </c>
      <c r="E40" s="136" t="s">
        <v>184</v>
      </c>
      <c r="F40" s="145">
        <v>46268.0</v>
      </c>
      <c r="G40" s="146" t="s">
        <v>14</v>
      </c>
      <c r="H40" s="136"/>
      <c r="I40" s="63"/>
    </row>
    <row r="41" ht="202.5" customHeight="1">
      <c r="A41" s="146" t="s">
        <v>198</v>
      </c>
      <c r="B41" s="136" t="s">
        <v>199</v>
      </c>
      <c r="C41" s="136" t="s">
        <v>200</v>
      </c>
      <c r="D41" s="136" t="s">
        <v>201</v>
      </c>
      <c r="E41" s="136" t="s">
        <v>184</v>
      </c>
      <c r="F41" s="145">
        <v>46268.0</v>
      </c>
      <c r="G41" s="146" t="s">
        <v>14</v>
      </c>
      <c r="H41" s="136"/>
      <c r="I41" s="63"/>
    </row>
    <row r="42" ht="202.5" customHeight="1">
      <c r="A42" s="146" t="s">
        <v>202</v>
      </c>
      <c r="B42" s="136" t="s">
        <v>203</v>
      </c>
      <c r="C42" s="136" t="s">
        <v>204</v>
      </c>
      <c r="D42" s="136" t="s">
        <v>205</v>
      </c>
      <c r="E42" s="136" t="s">
        <v>184</v>
      </c>
      <c r="F42" s="145">
        <v>46268.0</v>
      </c>
      <c r="G42" s="146" t="s">
        <v>14</v>
      </c>
      <c r="H42" s="136"/>
      <c r="I42" s="63"/>
    </row>
    <row r="43" ht="124.5" customHeight="1">
      <c r="A43" s="163" t="s">
        <v>206</v>
      </c>
      <c r="B43" s="138" t="s">
        <v>207</v>
      </c>
      <c r="C43" s="138" t="s">
        <v>208</v>
      </c>
      <c r="D43" s="138" t="s">
        <v>148</v>
      </c>
      <c r="E43" s="138" t="s">
        <v>209</v>
      </c>
      <c r="F43" s="141">
        <v>46268.0</v>
      </c>
      <c r="G43" s="163" t="s">
        <v>14</v>
      </c>
      <c r="H43" s="138" t="s">
        <v>210</v>
      </c>
      <c r="I43" s="143" t="s">
        <v>211</v>
      </c>
    </row>
    <row r="44" ht="131.25" customHeight="1">
      <c r="A44" s="146" t="s">
        <v>214</v>
      </c>
      <c r="B44" s="136" t="s">
        <v>215</v>
      </c>
      <c r="C44" s="136" t="s">
        <v>216</v>
      </c>
      <c r="D44" s="136" t="s">
        <v>217</v>
      </c>
      <c r="E44" s="136" t="s">
        <v>218</v>
      </c>
      <c r="F44" s="145">
        <v>46268.0</v>
      </c>
      <c r="G44" s="146" t="s">
        <v>14</v>
      </c>
      <c r="H44" s="136"/>
      <c r="I44" s="63"/>
    </row>
    <row r="45" ht="136.5" customHeight="1">
      <c r="A45" s="146" t="s">
        <v>219</v>
      </c>
      <c r="B45" s="136" t="s">
        <v>220</v>
      </c>
      <c r="C45" s="136" t="s">
        <v>221</v>
      </c>
      <c r="D45" s="136" t="s">
        <v>222</v>
      </c>
      <c r="E45" s="136" t="s">
        <v>223</v>
      </c>
      <c r="F45" s="145">
        <v>46268.0</v>
      </c>
      <c r="G45" s="146" t="s">
        <v>14</v>
      </c>
      <c r="H45" s="136"/>
      <c r="I45" s="63"/>
    </row>
    <row r="46" ht="121.5" customHeight="1">
      <c r="A46" s="146" t="s">
        <v>224</v>
      </c>
      <c r="B46" s="136" t="s">
        <v>225</v>
      </c>
      <c r="C46" s="136" t="s">
        <v>226</v>
      </c>
      <c r="D46" s="136" t="s">
        <v>227</v>
      </c>
      <c r="E46" s="136" t="s">
        <v>229</v>
      </c>
      <c r="F46" s="145">
        <v>46268.0</v>
      </c>
      <c r="G46" s="146" t="s">
        <v>14</v>
      </c>
      <c r="H46" s="136"/>
      <c r="I46" s="63"/>
    </row>
    <row r="47" ht="131.25" customHeight="1">
      <c r="A47" s="146" t="s">
        <v>232</v>
      </c>
      <c r="B47" s="136" t="s">
        <v>233</v>
      </c>
      <c r="C47" s="203" t="s">
        <v>234</v>
      </c>
      <c r="D47" s="203" t="s">
        <v>235</v>
      </c>
      <c r="E47" s="203" t="s">
        <v>236</v>
      </c>
      <c r="F47" s="153">
        <v>46268.0</v>
      </c>
      <c r="G47" s="155" t="s">
        <v>30</v>
      </c>
      <c r="H47" s="203"/>
      <c r="I47" s="222" t="s">
        <v>237</v>
      </c>
    </row>
    <row r="48" ht="132.0" customHeight="1">
      <c r="A48" s="146" t="s">
        <v>244</v>
      </c>
      <c r="B48" s="136" t="s">
        <v>245</v>
      </c>
      <c r="C48" s="203" t="s">
        <v>246</v>
      </c>
      <c r="D48" s="203" t="s">
        <v>247</v>
      </c>
      <c r="E48" s="203" t="s">
        <v>248</v>
      </c>
      <c r="F48" s="153">
        <v>46268.0</v>
      </c>
      <c r="G48" s="155" t="s">
        <v>30</v>
      </c>
      <c r="H48" s="203"/>
      <c r="I48" s="157" t="s">
        <v>249</v>
      </c>
    </row>
    <row r="49" ht="29.25" customHeight="1">
      <c r="A49" s="170" t="s">
        <v>255</v>
      </c>
      <c r="B49" s="194"/>
      <c r="C49" s="194"/>
      <c r="D49" s="194"/>
      <c r="E49" s="194"/>
      <c r="F49" s="228"/>
      <c r="G49" s="170"/>
      <c r="H49" s="194"/>
      <c r="I49" s="229"/>
    </row>
    <row r="50" ht="160.5" customHeight="1">
      <c r="A50" s="146" t="s">
        <v>256</v>
      </c>
      <c r="B50" s="136" t="s">
        <v>257</v>
      </c>
      <c r="C50" s="136" t="s">
        <v>258</v>
      </c>
      <c r="D50" s="136" t="s">
        <v>259</v>
      </c>
      <c r="E50" s="136" t="s">
        <v>261</v>
      </c>
      <c r="F50" s="145">
        <v>46268.0</v>
      </c>
      <c r="G50" s="146" t="s">
        <v>14</v>
      </c>
      <c r="H50" s="136"/>
      <c r="I50" s="63"/>
    </row>
    <row r="51" ht="160.5" customHeight="1">
      <c r="A51" s="146" t="s">
        <v>262</v>
      </c>
      <c r="B51" s="136" t="s">
        <v>263</v>
      </c>
      <c r="C51" s="136" t="s">
        <v>264</v>
      </c>
      <c r="D51" s="136" t="s">
        <v>265</v>
      </c>
      <c r="E51" s="136" t="s">
        <v>266</v>
      </c>
      <c r="F51" s="145">
        <v>46268.0</v>
      </c>
      <c r="G51" s="146" t="s">
        <v>14</v>
      </c>
      <c r="H51" s="136"/>
      <c r="I51" s="63"/>
    </row>
    <row r="52" ht="173.25" customHeight="1">
      <c r="A52" s="146" t="s">
        <v>267</v>
      </c>
      <c r="B52" s="136" t="s">
        <v>268</v>
      </c>
      <c r="C52" s="136" t="s">
        <v>269</v>
      </c>
      <c r="D52" s="136" t="s">
        <v>270</v>
      </c>
      <c r="E52" s="136" t="s">
        <v>271</v>
      </c>
      <c r="F52" s="145">
        <v>46268.0</v>
      </c>
      <c r="G52" s="146" t="s">
        <v>14</v>
      </c>
      <c r="H52" s="136"/>
      <c r="I52" s="63"/>
    </row>
    <row r="53" ht="115.5" customHeight="1">
      <c r="A53" s="163" t="s">
        <v>272</v>
      </c>
      <c r="B53" s="138" t="s">
        <v>273</v>
      </c>
      <c r="C53" s="138" t="s">
        <v>274</v>
      </c>
      <c r="D53" s="138" t="s">
        <v>275</v>
      </c>
      <c r="E53" s="138" t="s">
        <v>276</v>
      </c>
      <c r="F53" s="141">
        <v>46268.0</v>
      </c>
      <c r="G53" s="163" t="s">
        <v>14</v>
      </c>
      <c r="H53" s="138" t="s">
        <v>277</v>
      </c>
      <c r="I53" s="187"/>
    </row>
    <row r="54" ht="123.75" customHeight="1">
      <c r="A54" s="163" t="s">
        <v>279</v>
      </c>
      <c r="B54" s="138" t="s">
        <v>280</v>
      </c>
      <c r="C54" s="138" t="s">
        <v>282</v>
      </c>
      <c r="D54" s="138" t="s">
        <v>284</v>
      </c>
      <c r="E54" s="138" t="s">
        <v>286</v>
      </c>
      <c r="F54" s="141">
        <v>46268.0</v>
      </c>
      <c r="G54" s="163" t="s">
        <v>14</v>
      </c>
      <c r="H54" s="138" t="s">
        <v>277</v>
      </c>
      <c r="I54" s="187"/>
    </row>
    <row r="55" ht="84.0" customHeight="1">
      <c r="A55" s="233" t="s">
        <v>287</v>
      </c>
      <c r="B55" s="136" t="s">
        <v>288</v>
      </c>
      <c r="C55" s="136" t="s">
        <v>289</v>
      </c>
      <c r="D55" s="136" t="s">
        <v>275</v>
      </c>
      <c r="E55" s="136" t="s">
        <v>290</v>
      </c>
      <c r="F55" s="235">
        <v>46268.0</v>
      </c>
      <c r="G55" s="136" t="s">
        <v>14</v>
      </c>
      <c r="H55" s="63"/>
      <c r="I55" s="63"/>
    </row>
    <row r="56" ht="123.0" customHeight="1">
      <c r="A56" s="233" t="s">
        <v>291</v>
      </c>
      <c r="B56" s="136" t="s">
        <v>293</v>
      </c>
      <c r="C56" s="136" t="s">
        <v>294</v>
      </c>
      <c r="D56" s="136" t="s">
        <v>275</v>
      </c>
      <c r="E56" s="136" t="s">
        <v>296</v>
      </c>
      <c r="F56" s="235">
        <v>46268.0</v>
      </c>
      <c r="G56" s="136" t="s">
        <v>14</v>
      </c>
      <c r="H56" s="63"/>
      <c r="I56" s="63"/>
    </row>
    <row r="57" ht="129.0" customHeight="1">
      <c r="A57" s="233" t="s">
        <v>298</v>
      </c>
      <c r="B57" s="136" t="s">
        <v>299</v>
      </c>
      <c r="C57" s="136" t="s">
        <v>300</v>
      </c>
      <c r="D57" s="136" t="s">
        <v>275</v>
      </c>
      <c r="E57" s="136" t="s">
        <v>301</v>
      </c>
      <c r="F57" s="235">
        <v>46268.0</v>
      </c>
      <c r="G57" s="136" t="s">
        <v>14</v>
      </c>
      <c r="H57" s="63"/>
      <c r="I57" s="63"/>
    </row>
    <row r="58" ht="57.75" customHeight="1">
      <c r="A58" s="233" t="s">
        <v>302</v>
      </c>
      <c r="B58" s="136" t="s">
        <v>278</v>
      </c>
      <c r="C58" s="136" t="s">
        <v>305</v>
      </c>
      <c r="D58" s="136" t="s">
        <v>307</v>
      </c>
      <c r="E58" s="136" t="s">
        <v>309</v>
      </c>
      <c r="F58" s="235">
        <v>46268.0</v>
      </c>
      <c r="G58" s="136" t="s">
        <v>14</v>
      </c>
      <c r="H58" s="63"/>
      <c r="I58" s="63"/>
    </row>
    <row r="59" ht="96.75" customHeight="1">
      <c r="A59" s="233" t="s">
        <v>310</v>
      </c>
      <c r="B59" s="136" t="s">
        <v>311</v>
      </c>
      <c r="C59" s="136" t="s">
        <v>305</v>
      </c>
      <c r="D59" s="136" t="s">
        <v>312</v>
      </c>
      <c r="E59" s="136" t="s">
        <v>313</v>
      </c>
      <c r="F59" s="235">
        <v>46268.0</v>
      </c>
      <c r="G59" s="136" t="s">
        <v>14</v>
      </c>
      <c r="H59" s="63"/>
      <c r="I59" s="63"/>
    </row>
    <row r="60" ht="78.75" customHeight="1">
      <c r="A60" s="233" t="s">
        <v>315</v>
      </c>
      <c r="B60" s="136" t="s">
        <v>317</v>
      </c>
      <c r="C60" s="136" t="s">
        <v>319</v>
      </c>
      <c r="D60" s="136" t="s">
        <v>306</v>
      </c>
      <c r="E60" s="136" t="s">
        <v>321</v>
      </c>
      <c r="F60" s="235">
        <v>46268.0</v>
      </c>
      <c r="G60" s="136" t="s">
        <v>14</v>
      </c>
      <c r="H60" s="63"/>
      <c r="I60" s="63"/>
    </row>
    <row r="61">
      <c r="A61" s="170" t="s">
        <v>322</v>
      </c>
      <c r="B61" s="172"/>
      <c r="C61" s="172"/>
      <c r="D61" s="172"/>
      <c r="E61" s="172"/>
      <c r="F61" s="173"/>
      <c r="G61" s="172"/>
      <c r="H61" s="172"/>
      <c r="I61" s="172"/>
    </row>
    <row r="62">
      <c r="A62" s="136" t="s">
        <v>323</v>
      </c>
      <c r="B62" s="136" t="s">
        <v>325</v>
      </c>
      <c r="C62" s="136" t="s">
        <v>326</v>
      </c>
      <c r="D62" s="63" t="s">
        <v>148</v>
      </c>
      <c r="E62" s="136" t="s">
        <v>329</v>
      </c>
      <c r="F62" s="145">
        <v>46268.0</v>
      </c>
      <c r="G62" s="192" t="s">
        <v>14</v>
      </c>
      <c r="H62" s="63"/>
      <c r="I62" s="63"/>
    </row>
    <row r="63" ht="135.75" customHeight="1">
      <c r="A63" s="136" t="s">
        <v>331</v>
      </c>
      <c r="B63" s="136" t="s">
        <v>332</v>
      </c>
      <c r="C63" s="136" t="s">
        <v>333</v>
      </c>
      <c r="D63" s="136" t="s">
        <v>334</v>
      </c>
      <c r="E63" s="136" t="s">
        <v>335</v>
      </c>
      <c r="F63" s="145">
        <v>46268.0</v>
      </c>
      <c r="G63" s="146" t="s">
        <v>14</v>
      </c>
      <c r="H63" s="63"/>
      <c r="I63" s="63"/>
    </row>
    <row r="64">
      <c r="A64" s="136" t="s">
        <v>338</v>
      </c>
      <c r="B64" s="136" t="s">
        <v>339</v>
      </c>
      <c r="C64" s="136" t="s">
        <v>342</v>
      </c>
      <c r="D64" s="136" t="s">
        <v>343</v>
      </c>
      <c r="E64" s="136" t="s">
        <v>344</v>
      </c>
      <c r="F64" s="145">
        <v>46268.0</v>
      </c>
      <c r="G64" s="146" t="s">
        <v>14</v>
      </c>
      <c r="H64" s="136"/>
      <c r="I64" s="63"/>
    </row>
    <row r="65">
      <c r="A65" s="136" t="s">
        <v>345</v>
      </c>
      <c r="B65" s="135" t="s">
        <v>346</v>
      </c>
      <c r="C65" s="136" t="s">
        <v>347</v>
      </c>
      <c r="D65" s="136" t="s">
        <v>348</v>
      </c>
      <c r="E65" s="136" t="s">
        <v>349</v>
      </c>
      <c r="F65" s="145">
        <v>46268.0</v>
      </c>
      <c r="G65" s="146" t="s">
        <v>14</v>
      </c>
      <c r="H65" s="63"/>
      <c r="I65" s="63"/>
    </row>
    <row r="66">
      <c r="A66" s="203" t="s">
        <v>351</v>
      </c>
      <c r="B66" s="203" t="s">
        <v>353</v>
      </c>
      <c r="C66" s="203" t="s">
        <v>355</v>
      </c>
      <c r="D66" s="203" t="s">
        <v>357</v>
      </c>
      <c r="E66" s="203" t="s">
        <v>358</v>
      </c>
      <c r="F66" s="153">
        <v>46268.0</v>
      </c>
      <c r="G66" s="155" t="s">
        <v>30</v>
      </c>
      <c r="H66" s="203" t="s">
        <v>359</v>
      </c>
      <c r="I66" s="157" t="s">
        <v>360</v>
      </c>
    </row>
    <row r="67" ht="123.0" customHeight="1">
      <c r="A67" s="136" t="s">
        <v>369</v>
      </c>
      <c r="B67" s="136" t="s">
        <v>370</v>
      </c>
      <c r="C67" s="136" t="s">
        <v>371</v>
      </c>
      <c r="D67" s="136" t="s">
        <v>372</v>
      </c>
      <c r="E67" s="136" t="s">
        <v>373</v>
      </c>
      <c r="F67" s="145">
        <v>46268.0</v>
      </c>
      <c r="G67" s="146" t="s">
        <v>14</v>
      </c>
      <c r="H67" s="136"/>
      <c r="I67" s="63"/>
    </row>
    <row r="68" ht="123.0" customHeight="1">
      <c r="A68" s="136" t="s">
        <v>375</v>
      </c>
      <c r="B68" s="136" t="s">
        <v>376</v>
      </c>
      <c r="C68" s="136" t="s">
        <v>378</v>
      </c>
      <c r="D68" s="136" t="s">
        <v>379</v>
      </c>
      <c r="E68" s="136" t="s">
        <v>381</v>
      </c>
      <c r="F68" s="145">
        <v>46268.0</v>
      </c>
      <c r="G68" s="146" t="s">
        <v>14</v>
      </c>
      <c r="H68" s="136"/>
      <c r="I68" s="63"/>
    </row>
    <row r="69" ht="123.0" customHeight="1">
      <c r="A69" s="136" t="s">
        <v>382</v>
      </c>
      <c r="B69" s="136" t="s">
        <v>383</v>
      </c>
      <c r="C69" s="136" t="s">
        <v>384</v>
      </c>
      <c r="D69" s="136" t="s">
        <v>385</v>
      </c>
      <c r="E69" s="136" t="s">
        <v>387</v>
      </c>
      <c r="F69" s="145">
        <v>46268.0</v>
      </c>
      <c r="G69" s="146" t="s">
        <v>14</v>
      </c>
      <c r="H69" s="136"/>
      <c r="I69" s="63"/>
    </row>
    <row r="70" ht="123.0" customHeight="1">
      <c r="A70" s="136" t="s">
        <v>389</v>
      </c>
      <c r="B70" s="136" t="s">
        <v>390</v>
      </c>
      <c r="C70" s="136" t="s">
        <v>392</v>
      </c>
      <c r="D70" s="136" t="s">
        <v>393</v>
      </c>
      <c r="E70" s="136" t="s">
        <v>394</v>
      </c>
      <c r="F70" s="145">
        <v>46268.0</v>
      </c>
      <c r="G70" s="146" t="s">
        <v>14</v>
      </c>
      <c r="H70" s="136"/>
      <c r="I70" s="63"/>
    </row>
    <row r="71" ht="123.0" customHeight="1">
      <c r="A71" s="136" t="s">
        <v>395</v>
      </c>
      <c r="B71" s="136" t="s">
        <v>396</v>
      </c>
      <c r="C71" s="136" t="s">
        <v>397</v>
      </c>
      <c r="D71" s="136" t="s">
        <v>379</v>
      </c>
      <c r="E71" s="136" t="s">
        <v>398</v>
      </c>
      <c r="F71" s="145">
        <v>46268.0</v>
      </c>
      <c r="G71" s="146" t="s">
        <v>14</v>
      </c>
      <c r="H71" s="136"/>
      <c r="I71" s="63"/>
    </row>
    <row r="72">
      <c r="A72" s="170" t="s">
        <v>401</v>
      </c>
      <c r="B72" s="172"/>
      <c r="C72" s="172"/>
      <c r="D72" s="172"/>
      <c r="E72" s="172"/>
      <c r="F72" s="173"/>
      <c r="G72" s="172"/>
      <c r="H72" s="172"/>
      <c r="I72" s="172"/>
    </row>
    <row r="73" ht="75.75" customHeight="1">
      <c r="A73" s="136" t="s">
        <v>403</v>
      </c>
      <c r="B73" s="136" t="s">
        <v>404</v>
      </c>
      <c r="C73" s="136" t="s">
        <v>405</v>
      </c>
      <c r="D73" s="136" t="s">
        <v>148</v>
      </c>
      <c r="E73" s="136" t="s">
        <v>406</v>
      </c>
      <c r="F73" s="145">
        <v>46268.0</v>
      </c>
      <c r="G73" s="146" t="s">
        <v>14</v>
      </c>
      <c r="H73" s="63"/>
      <c r="I73" s="63"/>
    </row>
    <row r="74" ht="90.75" customHeight="1">
      <c r="A74" s="136" t="s">
        <v>407</v>
      </c>
      <c r="B74" s="136" t="s">
        <v>408</v>
      </c>
      <c r="C74" s="136" t="s">
        <v>410</v>
      </c>
      <c r="D74" s="136" t="s">
        <v>412</v>
      </c>
      <c r="E74" s="136" t="s">
        <v>413</v>
      </c>
      <c r="F74" s="145">
        <v>46268.0</v>
      </c>
      <c r="G74" s="146" t="s">
        <v>14</v>
      </c>
      <c r="H74" s="63"/>
      <c r="I74" s="63"/>
    </row>
    <row r="75">
      <c r="A75" s="136" t="s">
        <v>415</v>
      </c>
      <c r="B75" s="136" t="s">
        <v>416</v>
      </c>
      <c r="C75" s="136" t="s">
        <v>417</v>
      </c>
      <c r="D75" s="136" t="s">
        <v>418</v>
      </c>
      <c r="E75" s="136" t="s">
        <v>419</v>
      </c>
      <c r="F75" s="145">
        <v>46268.0</v>
      </c>
      <c r="G75" s="146" t="s">
        <v>14</v>
      </c>
      <c r="H75" s="63"/>
      <c r="I75" s="63"/>
    </row>
    <row r="76">
      <c r="A76" s="136" t="s">
        <v>421</v>
      </c>
      <c r="B76" s="136" t="s">
        <v>422</v>
      </c>
      <c r="C76" s="136" t="s">
        <v>423</v>
      </c>
      <c r="D76" s="136" t="s">
        <v>424</v>
      </c>
      <c r="E76" s="136" t="s">
        <v>425</v>
      </c>
      <c r="F76" s="145">
        <v>46268.0</v>
      </c>
      <c r="G76" s="146" t="s">
        <v>14</v>
      </c>
      <c r="H76" s="63"/>
      <c r="I76" s="63"/>
    </row>
    <row r="77">
      <c r="A77" s="233" t="s">
        <v>426</v>
      </c>
      <c r="B77" s="136" t="s">
        <v>427</v>
      </c>
      <c r="C77" s="136" t="s">
        <v>428</v>
      </c>
      <c r="D77" s="136" t="s">
        <v>429</v>
      </c>
      <c r="E77" s="136" t="s">
        <v>430</v>
      </c>
      <c r="F77" s="235">
        <v>46268.0</v>
      </c>
      <c r="G77" s="136" t="s">
        <v>14</v>
      </c>
      <c r="H77" s="63"/>
      <c r="I77" s="63"/>
    </row>
    <row r="78">
      <c r="A78" s="146" t="s">
        <v>432</v>
      </c>
      <c r="B78" s="136" t="s">
        <v>433</v>
      </c>
      <c r="C78" s="136" t="s">
        <v>434</v>
      </c>
      <c r="D78" s="136" t="s">
        <v>435</v>
      </c>
      <c r="E78" s="136" t="s">
        <v>436</v>
      </c>
      <c r="F78" s="145">
        <v>46268.0</v>
      </c>
      <c r="G78" s="146" t="s">
        <v>14</v>
      </c>
      <c r="H78" s="63"/>
      <c r="I78" s="63"/>
    </row>
    <row r="79">
      <c r="A79" s="146" t="s">
        <v>437</v>
      </c>
      <c r="B79" s="136" t="s">
        <v>438</v>
      </c>
      <c r="C79" s="136" t="s">
        <v>439</v>
      </c>
      <c r="D79" s="136" t="s">
        <v>440</v>
      </c>
      <c r="E79" s="136" t="s">
        <v>441</v>
      </c>
      <c r="F79" s="145">
        <v>46268.0</v>
      </c>
      <c r="G79" s="146" t="s">
        <v>14</v>
      </c>
      <c r="H79" s="63"/>
      <c r="I79" s="63"/>
    </row>
    <row r="80">
      <c r="A80" s="163" t="s">
        <v>442</v>
      </c>
      <c r="B80" s="138" t="s">
        <v>443</v>
      </c>
      <c r="C80" s="138" t="s">
        <v>444</v>
      </c>
      <c r="D80" s="138" t="s">
        <v>445</v>
      </c>
      <c r="E80" s="138" t="s">
        <v>446</v>
      </c>
      <c r="F80" s="141">
        <v>46268.0</v>
      </c>
      <c r="G80" s="163" t="s">
        <v>14</v>
      </c>
      <c r="H80" s="138" t="s">
        <v>447</v>
      </c>
      <c r="I80" s="143" t="s">
        <v>448</v>
      </c>
    </row>
    <row r="81">
      <c r="A81" s="233" t="s">
        <v>456</v>
      </c>
      <c r="B81" s="136" t="s">
        <v>457</v>
      </c>
      <c r="C81" s="136" t="s">
        <v>458</v>
      </c>
      <c r="D81" s="136" t="s">
        <v>459</v>
      </c>
      <c r="E81" s="136" t="s">
        <v>460</v>
      </c>
      <c r="F81" s="235">
        <v>46268.0</v>
      </c>
      <c r="G81" s="136" t="s">
        <v>14</v>
      </c>
      <c r="H81" s="63"/>
      <c r="I81" s="63"/>
    </row>
    <row r="82">
      <c r="A82" s="136" t="s">
        <v>461</v>
      </c>
      <c r="B82" s="136" t="s">
        <v>462</v>
      </c>
      <c r="C82" s="136" t="s">
        <v>463</v>
      </c>
      <c r="D82" s="136" t="s">
        <v>465</v>
      </c>
      <c r="E82" s="136" t="s">
        <v>466</v>
      </c>
      <c r="F82" s="235">
        <v>46268.0</v>
      </c>
      <c r="G82" s="136" t="s">
        <v>14</v>
      </c>
      <c r="H82" s="63"/>
      <c r="I82" s="63"/>
    </row>
    <row r="83">
      <c r="A83" s="233" t="s">
        <v>468</v>
      </c>
      <c r="B83" s="136" t="s">
        <v>469</v>
      </c>
      <c r="C83" s="136" t="s">
        <v>470</v>
      </c>
      <c r="D83" s="136" t="s">
        <v>471</v>
      </c>
      <c r="E83" s="136" t="s">
        <v>472</v>
      </c>
      <c r="F83" s="235">
        <v>46268.0</v>
      </c>
      <c r="G83" s="136" t="s">
        <v>14</v>
      </c>
      <c r="H83" s="63"/>
      <c r="I83" s="63"/>
    </row>
    <row r="84">
      <c r="A84" s="136" t="s">
        <v>473</v>
      </c>
      <c r="B84" s="260" t="s">
        <v>474</v>
      </c>
      <c r="C84" s="136" t="s">
        <v>470</v>
      </c>
      <c r="D84" s="175" t="s">
        <v>477</v>
      </c>
      <c r="E84" s="136" t="s">
        <v>478</v>
      </c>
      <c r="F84" s="235">
        <v>46268.0</v>
      </c>
      <c r="G84" s="136" t="s">
        <v>14</v>
      </c>
      <c r="H84" s="63"/>
      <c r="I84" s="63"/>
    </row>
    <row r="85">
      <c r="A85" s="136" t="s">
        <v>479</v>
      </c>
      <c r="B85" s="260" t="s">
        <v>480</v>
      </c>
      <c r="C85" s="136" t="s">
        <v>481</v>
      </c>
      <c r="D85" s="175" t="s">
        <v>482</v>
      </c>
      <c r="E85" s="136" t="s">
        <v>483</v>
      </c>
      <c r="F85" s="235">
        <v>46268.0</v>
      </c>
      <c r="G85" s="136" t="s">
        <v>14</v>
      </c>
      <c r="H85" s="63"/>
      <c r="I85" s="63"/>
    </row>
    <row r="86">
      <c r="A86" s="146" t="s">
        <v>486</v>
      </c>
      <c r="B86" s="136" t="s">
        <v>488</v>
      </c>
      <c r="C86" s="136" t="s">
        <v>481</v>
      </c>
      <c r="D86" s="136" t="s">
        <v>490</v>
      </c>
      <c r="E86" s="136" t="s">
        <v>491</v>
      </c>
      <c r="F86" s="235">
        <v>46268.0</v>
      </c>
      <c r="G86" s="136" t="s">
        <v>14</v>
      </c>
      <c r="H86" s="136"/>
      <c r="I86" s="63"/>
    </row>
    <row r="87">
      <c r="A87" s="136" t="s">
        <v>492</v>
      </c>
      <c r="B87" s="260" t="s">
        <v>493</v>
      </c>
      <c r="C87" s="136" t="s">
        <v>494</v>
      </c>
      <c r="D87" s="175" t="s">
        <v>495</v>
      </c>
      <c r="E87" s="136" t="s">
        <v>496</v>
      </c>
      <c r="F87" s="235">
        <v>46268.0</v>
      </c>
      <c r="G87" s="136" t="s">
        <v>14</v>
      </c>
      <c r="H87" s="63"/>
      <c r="I87" s="63"/>
    </row>
    <row r="88">
      <c r="A88" s="146" t="s">
        <v>499</v>
      </c>
      <c r="B88" s="136" t="s">
        <v>500</v>
      </c>
      <c r="C88" s="136" t="s">
        <v>501</v>
      </c>
      <c r="D88" s="136" t="s">
        <v>502</v>
      </c>
      <c r="E88" s="136" t="s">
        <v>504</v>
      </c>
      <c r="F88" s="235">
        <v>46268.0</v>
      </c>
      <c r="G88" s="136" t="s">
        <v>14</v>
      </c>
      <c r="H88" s="63"/>
      <c r="I88" s="63"/>
    </row>
    <row r="89">
      <c r="A89" s="136" t="s">
        <v>505</v>
      </c>
      <c r="B89" s="136" t="s">
        <v>370</v>
      </c>
      <c r="C89" s="136" t="s">
        <v>506</v>
      </c>
      <c r="D89" s="146" t="s">
        <v>306</v>
      </c>
      <c r="E89" s="136" t="s">
        <v>507</v>
      </c>
      <c r="F89" s="145">
        <v>46268.0</v>
      </c>
      <c r="G89" s="146" t="s">
        <v>14</v>
      </c>
      <c r="H89" s="63"/>
      <c r="I89" s="63"/>
    </row>
  </sheetData>
  <mergeCells count="4">
    <mergeCell ref="B2:D2"/>
    <mergeCell ref="B3:D3"/>
    <mergeCell ref="A7:E7"/>
    <mergeCell ref="A9:I9"/>
  </mergeCells>
  <hyperlinks>
    <hyperlink r:id="rId1" ref="D14"/>
    <hyperlink r:id="rId2" ref="I15"/>
    <hyperlink r:id="rId3" ref="I22"/>
    <hyperlink r:id="rId4" ref="I24"/>
    <hyperlink r:id="rId5" ref="I27"/>
    <hyperlink r:id="rId6" ref="I39"/>
    <hyperlink r:id="rId7" ref="I43"/>
    <hyperlink r:id="rId8" ref="I47"/>
    <hyperlink r:id="rId9" ref="I48"/>
    <hyperlink r:id="rId10" ref="I66"/>
    <hyperlink r:id="rId11" ref="I80"/>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4.88"/>
    <col customWidth="1" min="3" max="3" width="37.63"/>
    <col customWidth="1" min="4" max="4" width="37.25"/>
    <col customWidth="1" min="5" max="5" width="35.5"/>
    <col customWidth="1" min="6" max="6" width="20.75"/>
    <col customWidth="1" min="8" max="8" width="19.5"/>
    <col customWidth="1" min="9" max="9" width="33.0"/>
  </cols>
  <sheetData>
    <row r="1">
      <c r="A1" s="9" t="s">
        <v>0</v>
      </c>
      <c r="B1" s="13"/>
      <c r="C1" s="16"/>
      <c r="D1" s="16"/>
      <c r="E1" s="16"/>
      <c r="F1" s="21"/>
      <c r="G1" s="21"/>
      <c r="H1" s="21"/>
      <c r="I1" s="26"/>
      <c r="J1" s="28"/>
      <c r="K1" s="28"/>
      <c r="L1" s="28"/>
      <c r="M1" s="28"/>
      <c r="N1" s="28"/>
      <c r="O1" s="28"/>
      <c r="P1" s="28"/>
      <c r="Q1" s="28"/>
      <c r="R1" s="28"/>
      <c r="S1" s="28"/>
      <c r="T1" s="28"/>
      <c r="U1" s="28"/>
      <c r="V1" s="28"/>
      <c r="W1" s="28"/>
      <c r="X1" s="28"/>
      <c r="Y1" s="28"/>
      <c r="Z1" s="28"/>
    </row>
    <row r="2">
      <c r="A2" s="35" t="s">
        <v>13</v>
      </c>
      <c r="B2" s="38" t="s">
        <v>16</v>
      </c>
      <c r="C2" s="19"/>
      <c r="D2" s="22"/>
      <c r="E2" s="41"/>
      <c r="F2" s="43"/>
      <c r="G2" s="21"/>
      <c r="H2" s="21"/>
      <c r="I2" s="45"/>
      <c r="J2" s="28"/>
      <c r="K2" s="28"/>
      <c r="L2" s="28"/>
      <c r="M2" s="28"/>
      <c r="N2" s="28"/>
      <c r="O2" s="28"/>
      <c r="P2" s="28"/>
      <c r="Q2" s="28"/>
      <c r="R2" s="28"/>
      <c r="S2" s="28"/>
      <c r="T2" s="28"/>
      <c r="U2" s="28"/>
      <c r="V2" s="28"/>
      <c r="W2" s="28"/>
      <c r="X2" s="28"/>
      <c r="Y2" s="28"/>
      <c r="Z2" s="28"/>
    </row>
    <row r="3">
      <c r="A3" s="35" t="s">
        <v>23</v>
      </c>
      <c r="B3" s="38" t="s">
        <v>24</v>
      </c>
      <c r="C3" s="19"/>
      <c r="D3" s="22"/>
      <c r="E3" s="41"/>
      <c r="F3" s="43"/>
      <c r="G3" s="21"/>
      <c r="H3" s="21"/>
      <c r="I3" s="45"/>
      <c r="J3" s="28"/>
      <c r="K3" s="28"/>
      <c r="L3" s="28"/>
      <c r="M3" s="28"/>
      <c r="N3" s="28"/>
      <c r="O3" s="28"/>
      <c r="P3" s="28"/>
      <c r="Q3" s="28"/>
      <c r="R3" s="28"/>
      <c r="S3" s="28"/>
      <c r="T3" s="28"/>
      <c r="U3" s="28"/>
      <c r="V3" s="28"/>
      <c r="W3" s="28"/>
      <c r="X3" s="28"/>
      <c r="Y3" s="28"/>
      <c r="Z3" s="28"/>
    </row>
    <row r="4">
      <c r="A4" s="35" t="s">
        <v>11</v>
      </c>
      <c r="B4" s="55"/>
      <c r="C4" s="19"/>
      <c r="D4" s="19"/>
      <c r="E4" s="22"/>
      <c r="F4" s="26"/>
      <c r="G4" s="26"/>
      <c r="H4" s="26"/>
      <c r="I4" s="45"/>
      <c r="J4" s="28"/>
      <c r="K4" s="28"/>
      <c r="L4" s="28"/>
      <c r="M4" s="28"/>
      <c r="N4" s="28"/>
      <c r="O4" s="28"/>
      <c r="P4" s="28"/>
      <c r="Q4" s="28"/>
      <c r="R4" s="28"/>
      <c r="S4" s="28"/>
      <c r="T4" s="28"/>
      <c r="U4" s="28"/>
      <c r="V4" s="28"/>
      <c r="W4" s="28"/>
      <c r="X4" s="28"/>
      <c r="Y4" s="28"/>
      <c r="Z4" s="28"/>
    </row>
    <row r="5">
      <c r="A5" s="62" t="s">
        <v>14</v>
      </c>
      <c r="B5" s="62">
        <f>COUNTIF(G:G,"Pass")</f>
        <v>40</v>
      </c>
      <c r="C5" s="75" t="s">
        <v>25</v>
      </c>
      <c r="D5" s="75">
        <f>COUNTIF(G:G,"Pending")</f>
        <v>0</v>
      </c>
      <c r="E5" s="81"/>
      <c r="F5" s="21"/>
      <c r="G5" s="21"/>
      <c r="H5" s="21"/>
      <c r="I5" s="45"/>
      <c r="J5" s="28"/>
      <c r="K5" s="28"/>
      <c r="L5" s="28"/>
      <c r="M5" s="28"/>
      <c r="N5" s="28"/>
      <c r="O5" s="28"/>
      <c r="P5" s="28"/>
      <c r="Q5" s="28"/>
      <c r="R5" s="28"/>
      <c r="S5" s="28"/>
      <c r="T5" s="28"/>
      <c r="U5" s="28"/>
      <c r="V5" s="28"/>
      <c r="W5" s="28"/>
      <c r="X5" s="28"/>
      <c r="Y5" s="28"/>
      <c r="Z5" s="28"/>
    </row>
    <row r="6">
      <c r="A6" s="62" t="s">
        <v>30</v>
      </c>
      <c r="B6" s="62">
        <f>COUNTIF(G:G,"Fail")</f>
        <v>2</v>
      </c>
      <c r="C6" s="88" t="s">
        <v>42</v>
      </c>
      <c r="D6" s="88">
        <f>COUNTIF(A:A,"*TC*")</f>
        <v>42</v>
      </c>
      <c r="E6" s="93"/>
      <c r="F6" s="95"/>
      <c r="G6" s="97"/>
      <c r="H6" s="97"/>
      <c r="I6" s="45"/>
      <c r="J6" s="28"/>
      <c r="K6" s="28"/>
      <c r="L6" s="28"/>
      <c r="M6" s="28"/>
      <c r="N6" s="28"/>
      <c r="O6" s="28"/>
      <c r="P6" s="28"/>
      <c r="Q6" s="28"/>
      <c r="R6" s="28"/>
      <c r="S6" s="28"/>
      <c r="T6" s="28"/>
      <c r="U6" s="28"/>
      <c r="V6" s="28"/>
      <c r="W6" s="28"/>
      <c r="X6" s="28"/>
      <c r="Y6" s="28"/>
      <c r="Z6" s="28"/>
    </row>
    <row r="7">
      <c r="A7" s="101"/>
      <c r="B7" s="72"/>
      <c r="C7" s="72"/>
      <c r="D7" s="72"/>
      <c r="E7" s="72"/>
      <c r="F7" s="21"/>
      <c r="G7" s="21"/>
      <c r="H7" s="21"/>
      <c r="I7" s="26"/>
      <c r="J7" s="28"/>
      <c r="K7" s="28"/>
      <c r="L7" s="28"/>
      <c r="M7" s="28"/>
      <c r="N7" s="28"/>
      <c r="O7" s="28"/>
      <c r="P7" s="28"/>
      <c r="Q7" s="28"/>
      <c r="R7" s="28"/>
      <c r="S7" s="28"/>
      <c r="T7" s="28"/>
      <c r="U7" s="28"/>
      <c r="V7" s="28"/>
      <c r="W7" s="28"/>
      <c r="X7" s="28"/>
      <c r="Y7" s="28"/>
      <c r="Z7" s="28"/>
    </row>
    <row r="8">
      <c r="A8" s="107" t="s">
        <v>33</v>
      </c>
      <c r="B8" s="109" t="s">
        <v>34</v>
      </c>
      <c r="C8" s="107" t="s">
        <v>35</v>
      </c>
      <c r="D8" s="82" t="s">
        <v>36</v>
      </c>
      <c r="E8" s="111" t="s">
        <v>37</v>
      </c>
      <c r="F8" s="113" t="s">
        <v>38</v>
      </c>
      <c r="G8" s="114" t="s">
        <v>39</v>
      </c>
      <c r="H8" s="115" t="s">
        <v>40</v>
      </c>
      <c r="I8" s="114" t="s">
        <v>41</v>
      </c>
      <c r="J8" s="28"/>
      <c r="K8" s="28"/>
      <c r="L8" s="28"/>
      <c r="M8" s="28"/>
      <c r="N8" s="28"/>
      <c r="O8" s="28"/>
      <c r="P8" s="28"/>
      <c r="Q8" s="28"/>
      <c r="R8" s="28"/>
      <c r="S8" s="28"/>
      <c r="T8" s="28"/>
      <c r="U8" s="28"/>
      <c r="V8" s="28"/>
      <c r="W8" s="28"/>
      <c r="X8" s="28"/>
      <c r="Y8" s="28"/>
      <c r="Z8" s="28"/>
    </row>
    <row r="9">
      <c r="A9" s="118"/>
      <c r="B9" s="19"/>
      <c r="C9" s="19"/>
      <c r="D9" s="19"/>
      <c r="E9" s="19"/>
      <c r="F9" s="19"/>
      <c r="G9" s="19"/>
      <c r="H9" s="19"/>
      <c r="I9" s="22"/>
      <c r="J9" s="28"/>
      <c r="K9" s="28"/>
      <c r="L9" s="28"/>
      <c r="M9" s="28"/>
      <c r="N9" s="28"/>
      <c r="O9" s="28"/>
      <c r="P9" s="28"/>
      <c r="Q9" s="28"/>
      <c r="R9" s="28"/>
      <c r="S9" s="28"/>
      <c r="T9" s="28"/>
      <c r="U9" s="28"/>
      <c r="V9" s="28"/>
      <c r="W9" s="28"/>
      <c r="X9" s="28"/>
      <c r="Y9" s="28"/>
      <c r="Z9" s="28"/>
    </row>
    <row r="10">
      <c r="A10" s="122" t="s">
        <v>43</v>
      </c>
      <c r="B10" s="123"/>
      <c r="C10" s="123"/>
      <c r="D10" s="123"/>
      <c r="E10" s="123"/>
      <c r="F10" s="123"/>
      <c r="G10" s="123"/>
      <c r="H10" s="123"/>
      <c r="I10" s="123"/>
      <c r="J10" s="124"/>
      <c r="K10" s="124"/>
      <c r="L10" s="124"/>
      <c r="M10" s="124"/>
      <c r="N10" s="124"/>
      <c r="O10" s="124"/>
      <c r="P10" s="124"/>
      <c r="Q10" s="124"/>
      <c r="R10" s="124"/>
      <c r="S10" s="124"/>
      <c r="T10" s="124"/>
      <c r="U10" s="124"/>
      <c r="V10" s="124"/>
      <c r="W10" s="124"/>
      <c r="X10" s="124"/>
      <c r="Y10" s="124"/>
      <c r="Z10" s="124"/>
    </row>
    <row r="11">
      <c r="A11" s="100" t="s">
        <v>44</v>
      </c>
      <c r="B11" s="102" t="s">
        <v>45</v>
      </c>
      <c r="C11" s="104" t="s">
        <v>46</v>
      </c>
      <c r="D11" s="102" t="s">
        <v>66</v>
      </c>
      <c r="E11" s="104" t="s">
        <v>48</v>
      </c>
      <c r="F11" s="106">
        <v>46269.0</v>
      </c>
      <c r="G11" s="104" t="s">
        <v>14</v>
      </c>
      <c r="H11" s="108"/>
      <c r="I11" s="131"/>
    </row>
    <row r="12" ht="90.0" customHeight="1">
      <c r="A12" s="100" t="s">
        <v>49</v>
      </c>
      <c r="B12" s="102" t="s">
        <v>50</v>
      </c>
      <c r="C12" s="104" t="s">
        <v>51</v>
      </c>
      <c r="D12" s="102" t="s">
        <v>52</v>
      </c>
      <c r="E12" s="104" t="s">
        <v>53</v>
      </c>
      <c r="F12" s="106">
        <v>46269.0</v>
      </c>
      <c r="G12" s="104" t="s">
        <v>14</v>
      </c>
      <c r="H12" s="108"/>
      <c r="I12" s="131"/>
    </row>
    <row r="13">
      <c r="A13" s="100" t="s">
        <v>54</v>
      </c>
      <c r="B13" s="102" t="s">
        <v>55</v>
      </c>
      <c r="C13" s="104" t="s">
        <v>56</v>
      </c>
      <c r="D13" s="102" t="s">
        <v>57</v>
      </c>
      <c r="E13" s="104" t="s">
        <v>58</v>
      </c>
      <c r="F13" s="106">
        <v>46269.0</v>
      </c>
      <c r="G13" s="104" t="s">
        <v>14</v>
      </c>
      <c r="H13" s="108"/>
      <c r="I13" s="131"/>
    </row>
    <row r="14">
      <c r="A14" s="100" t="s">
        <v>59</v>
      </c>
      <c r="B14" s="102" t="s">
        <v>60</v>
      </c>
      <c r="C14" s="104" t="s">
        <v>61</v>
      </c>
      <c r="D14" s="126" t="s">
        <v>73</v>
      </c>
      <c r="E14" s="104" t="s">
        <v>63</v>
      </c>
      <c r="F14" s="106">
        <v>46269.0</v>
      </c>
      <c r="G14" s="104" t="s">
        <v>14</v>
      </c>
      <c r="H14" s="108"/>
      <c r="I14" s="131"/>
    </row>
    <row r="15" ht="74.25" customHeight="1">
      <c r="A15" s="127" t="s">
        <v>64</v>
      </c>
      <c r="B15" s="138" t="s">
        <v>65</v>
      </c>
      <c r="C15" s="129" t="s">
        <v>67</v>
      </c>
      <c r="D15" s="128" t="s">
        <v>68</v>
      </c>
      <c r="E15" s="129" t="s">
        <v>69</v>
      </c>
      <c r="F15" s="130">
        <v>46269.0</v>
      </c>
      <c r="G15" s="129" t="s">
        <v>14</v>
      </c>
      <c r="H15" s="129" t="s">
        <v>70</v>
      </c>
      <c r="I15" s="144" t="s">
        <v>106</v>
      </c>
    </row>
    <row r="16">
      <c r="A16" s="134" t="s">
        <v>74</v>
      </c>
      <c r="B16" s="147" t="s">
        <v>75</v>
      </c>
      <c r="C16" s="104" t="s">
        <v>76</v>
      </c>
      <c r="D16" s="136" t="s">
        <v>77</v>
      </c>
      <c r="E16" s="104" t="s">
        <v>48</v>
      </c>
      <c r="F16" s="106">
        <v>46269.0</v>
      </c>
      <c r="G16" s="104" t="s">
        <v>14</v>
      </c>
      <c r="H16" s="104"/>
      <c r="I16" s="131"/>
    </row>
    <row r="17" ht="77.25" customHeight="1">
      <c r="A17" s="134" t="s">
        <v>78</v>
      </c>
      <c r="B17" s="147" t="s">
        <v>79</v>
      </c>
      <c r="C17" s="104" t="s">
        <v>80</v>
      </c>
      <c r="D17" s="152" t="s">
        <v>119</v>
      </c>
      <c r="E17" s="104" t="s">
        <v>48</v>
      </c>
      <c r="F17" s="106">
        <v>46269.0</v>
      </c>
      <c r="G17" s="104" t="s">
        <v>14</v>
      </c>
      <c r="H17" s="104"/>
      <c r="I17" s="131"/>
    </row>
    <row r="18" ht="86.25" customHeight="1">
      <c r="A18" s="134" t="s">
        <v>82</v>
      </c>
      <c r="B18" s="147" t="s">
        <v>83</v>
      </c>
      <c r="C18" s="104" t="s">
        <v>84</v>
      </c>
      <c r="D18" s="152" t="s">
        <v>85</v>
      </c>
      <c r="E18" s="104" t="s">
        <v>58</v>
      </c>
      <c r="F18" s="106">
        <v>46269.0</v>
      </c>
      <c r="G18" s="104" t="s">
        <v>14</v>
      </c>
      <c r="H18" s="104"/>
      <c r="I18" s="131"/>
    </row>
    <row r="19" ht="100.5" customHeight="1">
      <c r="A19" s="134" t="s">
        <v>86</v>
      </c>
      <c r="B19" s="147" t="s">
        <v>87</v>
      </c>
      <c r="C19" s="104" t="s">
        <v>88</v>
      </c>
      <c r="D19" s="152" t="s">
        <v>121</v>
      </c>
      <c r="E19" s="104" t="s">
        <v>58</v>
      </c>
      <c r="F19" s="106">
        <v>46269.0</v>
      </c>
      <c r="G19" s="104" t="s">
        <v>14</v>
      </c>
      <c r="H19" s="104"/>
      <c r="I19" s="131"/>
    </row>
    <row r="20" ht="101.25" customHeight="1">
      <c r="A20" s="134" t="s">
        <v>90</v>
      </c>
      <c r="B20" s="147" t="s">
        <v>91</v>
      </c>
      <c r="C20" s="104" t="s">
        <v>92</v>
      </c>
      <c r="D20" s="152" t="s">
        <v>122</v>
      </c>
      <c r="E20" s="104" t="s">
        <v>94</v>
      </c>
      <c r="F20" s="106">
        <v>46269.0</v>
      </c>
      <c r="G20" s="104" t="s">
        <v>14</v>
      </c>
      <c r="H20" s="104"/>
      <c r="I20" s="131"/>
    </row>
    <row r="21">
      <c r="A21" s="158" t="s">
        <v>95</v>
      </c>
      <c r="B21" s="159" t="s">
        <v>97</v>
      </c>
      <c r="C21" s="160" t="s">
        <v>98</v>
      </c>
      <c r="D21" s="159" t="s">
        <v>99</v>
      </c>
      <c r="E21" s="160" t="s">
        <v>100</v>
      </c>
      <c r="F21" s="139">
        <v>46269.0</v>
      </c>
      <c r="G21" s="161" t="s">
        <v>14</v>
      </c>
      <c r="H21" s="162"/>
      <c r="I21" s="164"/>
      <c r="J21" s="124"/>
      <c r="K21" s="124"/>
      <c r="L21" s="124"/>
      <c r="M21" s="124"/>
      <c r="N21" s="124"/>
      <c r="O21" s="124"/>
      <c r="P21" s="124"/>
      <c r="Q21" s="124"/>
      <c r="R21" s="124"/>
      <c r="S21" s="124"/>
      <c r="T21" s="124"/>
      <c r="U21" s="124"/>
      <c r="V21" s="124"/>
      <c r="W21" s="124"/>
      <c r="X21" s="124"/>
      <c r="Y21" s="124"/>
      <c r="Z21" s="124"/>
    </row>
    <row r="22">
      <c r="A22" s="165" t="s">
        <v>101</v>
      </c>
      <c r="B22" s="166" t="s">
        <v>102</v>
      </c>
      <c r="C22" s="167" t="s">
        <v>103</v>
      </c>
      <c r="D22" s="168" t="s">
        <v>140</v>
      </c>
      <c r="E22" s="167" t="s">
        <v>105</v>
      </c>
      <c r="F22" s="141">
        <v>46269.0</v>
      </c>
      <c r="G22" s="169" t="s">
        <v>14</v>
      </c>
      <c r="H22" s="167" t="s">
        <v>107</v>
      </c>
      <c r="I22" s="181" t="s">
        <v>141</v>
      </c>
      <c r="J22" s="124"/>
      <c r="K22" s="124"/>
      <c r="L22" s="124"/>
      <c r="M22" s="124"/>
      <c r="N22" s="124"/>
      <c r="O22" s="124"/>
      <c r="P22" s="124"/>
      <c r="Q22" s="124"/>
      <c r="R22" s="124"/>
      <c r="S22" s="124"/>
      <c r="T22" s="124"/>
      <c r="U22" s="124"/>
      <c r="V22" s="124"/>
      <c r="W22" s="124"/>
      <c r="X22" s="124"/>
      <c r="Y22" s="124"/>
      <c r="Z22" s="124"/>
    </row>
    <row r="23">
      <c r="A23" s="158" t="s">
        <v>109</v>
      </c>
      <c r="B23" s="159" t="s">
        <v>110</v>
      </c>
      <c r="C23" s="160" t="s">
        <v>111</v>
      </c>
      <c r="D23" s="159" t="s">
        <v>112</v>
      </c>
      <c r="E23" s="160" t="s">
        <v>113</v>
      </c>
      <c r="F23" s="145">
        <v>46269.0</v>
      </c>
      <c r="G23" s="189" t="s">
        <v>14</v>
      </c>
      <c r="H23" s="162"/>
      <c r="I23" s="191"/>
      <c r="J23" s="124"/>
      <c r="K23" s="124"/>
      <c r="L23" s="124"/>
      <c r="M23" s="124"/>
      <c r="N23" s="124"/>
      <c r="O23" s="124"/>
      <c r="P23" s="124"/>
      <c r="Q23" s="124"/>
      <c r="R23" s="124"/>
      <c r="S23" s="124"/>
      <c r="T23" s="124"/>
      <c r="U23" s="124"/>
      <c r="V23" s="124"/>
      <c r="W23" s="124"/>
      <c r="X23" s="124"/>
      <c r="Y23" s="124"/>
      <c r="Z23" s="124"/>
    </row>
    <row r="24">
      <c r="A24" s="158" t="s">
        <v>114</v>
      </c>
      <c r="B24" s="159" t="s">
        <v>115</v>
      </c>
      <c r="C24" s="160" t="s">
        <v>116</v>
      </c>
      <c r="D24" s="159" t="s">
        <v>117</v>
      </c>
      <c r="E24" s="160" t="s">
        <v>118</v>
      </c>
      <c r="F24" s="145">
        <v>46269.0</v>
      </c>
      <c r="G24" s="196" t="s">
        <v>14</v>
      </c>
      <c r="H24" s="162"/>
      <c r="I24" s="191"/>
      <c r="J24" s="124"/>
      <c r="K24" s="124"/>
      <c r="L24" s="124"/>
      <c r="M24" s="124"/>
      <c r="N24" s="124"/>
      <c r="O24" s="124"/>
      <c r="P24" s="124"/>
      <c r="Q24" s="124"/>
      <c r="R24" s="124"/>
      <c r="S24" s="124"/>
      <c r="T24" s="124"/>
      <c r="U24" s="124"/>
      <c r="V24" s="124"/>
      <c r="W24" s="124"/>
      <c r="X24" s="124"/>
      <c r="Y24" s="124"/>
      <c r="Z24" s="124"/>
    </row>
    <row r="25">
      <c r="A25" s="158" t="s">
        <v>123</v>
      </c>
      <c r="B25" s="159" t="s">
        <v>124</v>
      </c>
      <c r="C25" s="160" t="s">
        <v>125</v>
      </c>
      <c r="D25" s="159" t="s">
        <v>126</v>
      </c>
      <c r="E25" s="160" t="s">
        <v>127</v>
      </c>
      <c r="F25" s="145">
        <v>46269.0</v>
      </c>
      <c r="G25" s="189" t="s">
        <v>14</v>
      </c>
      <c r="H25" s="162"/>
      <c r="I25" s="191"/>
      <c r="J25" s="124"/>
      <c r="K25" s="124"/>
      <c r="L25" s="124"/>
      <c r="M25" s="124"/>
      <c r="N25" s="124"/>
      <c r="O25" s="124"/>
      <c r="P25" s="124"/>
      <c r="Q25" s="124"/>
      <c r="R25" s="124"/>
      <c r="S25" s="124"/>
      <c r="T25" s="124"/>
      <c r="U25" s="124"/>
      <c r="V25" s="124"/>
      <c r="W25" s="124"/>
      <c r="X25" s="124"/>
      <c r="Y25" s="124"/>
      <c r="Z25" s="124"/>
    </row>
    <row r="26">
      <c r="A26" s="158" t="s">
        <v>128</v>
      </c>
      <c r="B26" s="159" t="s">
        <v>129</v>
      </c>
      <c r="C26" s="160" t="s">
        <v>130</v>
      </c>
      <c r="D26" s="159" t="s">
        <v>131</v>
      </c>
      <c r="E26" s="160" t="s">
        <v>132</v>
      </c>
      <c r="F26" s="145">
        <v>46269.0</v>
      </c>
      <c r="G26" s="189" t="s">
        <v>14</v>
      </c>
      <c r="H26" s="162"/>
      <c r="I26" s="191"/>
      <c r="J26" s="124"/>
      <c r="K26" s="124"/>
      <c r="L26" s="124"/>
      <c r="M26" s="124"/>
      <c r="N26" s="124"/>
      <c r="O26" s="124"/>
      <c r="P26" s="124"/>
      <c r="Q26" s="124"/>
      <c r="R26" s="124"/>
      <c r="S26" s="124"/>
      <c r="T26" s="124"/>
      <c r="U26" s="124"/>
      <c r="V26" s="124"/>
      <c r="W26" s="124"/>
      <c r="X26" s="124"/>
      <c r="Y26" s="124"/>
      <c r="Z26" s="124"/>
    </row>
    <row r="27">
      <c r="A27" s="165" t="s">
        <v>133</v>
      </c>
      <c r="B27" s="166" t="s">
        <v>134</v>
      </c>
      <c r="C27" s="167" t="s">
        <v>135</v>
      </c>
      <c r="D27" s="166" t="s">
        <v>136</v>
      </c>
      <c r="E27" s="167" t="s">
        <v>137</v>
      </c>
      <c r="F27" s="141">
        <v>46269.0</v>
      </c>
      <c r="G27" s="169" t="s">
        <v>14</v>
      </c>
      <c r="H27" s="167" t="s">
        <v>138</v>
      </c>
      <c r="I27" s="210" t="s">
        <v>141</v>
      </c>
      <c r="J27" s="124"/>
      <c r="K27" s="124"/>
      <c r="L27" s="124"/>
      <c r="M27" s="124"/>
      <c r="N27" s="124"/>
      <c r="O27" s="124"/>
      <c r="P27" s="124"/>
      <c r="Q27" s="124"/>
      <c r="R27" s="124"/>
      <c r="S27" s="124"/>
      <c r="T27" s="124"/>
      <c r="U27" s="124"/>
      <c r="V27" s="124"/>
      <c r="W27" s="124"/>
      <c r="X27" s="124"/>
      <c r="Y27" s="124"/>
      <c r="Z27" s="124"/>
    </row>
    <row r="28">
      <c r="A28" s="170" t="s">
        <v>142</v>
      </c>
      <c r="B28" s="172"/>
      <c r="C28" s="172"/>
      <c r="D28" s="172"/>
      <c r="E28" s="172"/>
      <c r="F28" s="213"/>
      <c r="G28" s="172"/>
      <c r="H28" s="172"/>
      <c r="I28" s="215"/>
      <c r="J28" s="28"/>
      <c r="K28" s="28"/>
      <c r="L28" s="28"/>
      <c r="M28" s="28"/>
      <c r="N28" s="28"/>
      <c r="O28" s="28"/>
      <c r="P28" s="28"/>
      <c r="Q28" s="28"/>
      <c r="R28" s="28"/>
      <c r="S28" s="28"/>
      <c r="T28" s="28"/>
      <c r="U28" s="28"/>
      <c r="V28" s="28"/>
      <c r="W28" s="28"/>
      <c r="X28" s="28"/>
      <c r="Y28" s="28"/>
      <c r="Z28" s="28"/>
    </row>
    <row r="29" ht="50.25" customHeight="1">
      <c r="A29" s="175" t="s">
        <v>145</v>
      </c>
      <c r="B29" s="175" t="s">
        <v>146</v>
      </c>
      <c r="C29" s="177" t="s">
        <v>212</v>
      </c>
      <c r="D29" s="175" t="s">
        <v>213</v>
      </c>
      <c r="E29" s="146" t="s">
        <v>149</v>
      </c>
      <c r="F29" s="145">
        <v>46269.0</v>
      </c>
      <c r="G29" s="146" t="s">
        <v>14</v>
      </c>
      <c r="H29" s="63"/>
      <c r="I29" s="218"/>
      <c r="J29" s="28"/>
      <c r="K29" s="28"/>
      <c r="L29" s="28"/>
      <c r="M29" s="28"/>
      <c r="N29" s="28"/>
      <c r="O29" s="28"/>
      <c r="P29" s="28"/>
      <c r="Q29" s="28"/>
      <c r="R29" s="28"/>
      <c r="S29" s="28"/>
      <c r="T29" s="28"/>
      <c r="U29" s="28"/>
      <c r="V29" s="28"/>
      <c r="W29" s="28"/>
      <c r="X29" s="28"/>
      <c r="Y29" s="28"/>
      <c r="Z29" s="28"/>
    </row>
    <row r="30">
      <c r="A30" s="175" t="s">
        <v>151</v>
      </c>
      <c r="B30" s="175" t="s">
        <v>152</v>
      </c>
      <c r="C30" s="177" t="s">
        <v>228</v>
      </c>
      <c r="D30" s="175" t="s">
        <v>213</v>
      </c>
      <c r="E30" s="146" t="s">
        <v>230</v>
      </c>
      <c r="F30" s="145">
        <v>46269.0</v>
      </c>
      <c r="G30" s="146" t="s">
        <v>14</v>
      </c>
      <c r="H30" s="63"/>
      <c r="I30" s="218"/>
      <c r="J30" s="28"/>
      <c r="K30" s="28"/>
      <c r="L30" s="28"/>
      <c r="M30" s="28"/>
      <c r="N30" s="28"/>
      <c r="O30" s="28"/>
      <c r="P30" s="28"/>
      <c r="Q30" s="28"/>
      <c r="R30" s="28"/>
      <c r="S30" s="28"/>
      <c r="T30" s="28"/>
      <c r="U30" s="28"/>
      <c r="V30" s="28"/>
      <c r="W30" s="28"/>
      <c r="X30" s="28"/>
      <c r="Y30" s="28"/>
      <c r="Z30" s="28"/>
    </row>
    <row r="31">
      <c r="A31" s="175" t="s">
        <v>157</v>
      </c>
      <c r="B31" s="175" t="s">
        <v>169</v>
      </c>
      <c r="C31" s="177" t="s">
        <v>238</v>
      </c>
      <c r="D31" s="175" t="s">
        <v>213</v>
      </c>
      <c r="E31" s="146" t="s">
        <v>239</v>
      </c>
      <c r="F31" s="145">
        <v>46269.0</v>
      </c>
      <c r="G31" s="146" t="s">
        <v>14</v>
      </c>
      <c r="H31" s="63"/>
      <c r="I31" s="218"/>
      <c r="J31" s="28"/>
      <c r="K31" s="28"/>
      <c r="L31" s="28"/>
      <c r="M31" s="28"/>
      <c r="N31" s="28"/>
      <c r="O31" s="28"/>
      <c r="P31" s="28"/>
      <c r="Q31" s="28"/>
      <c r="R31" s="28"/>
      <c r="S31" s="28"/>
      <c r="T31" s="28"/>
      <c r="U31" s="28"/>
      <c r="V31" s="28"/>
      <c r="W31" s="28"/>
      <c r="X31" s="28"/>
      <c r="Y31" s="28"/>
      <c r="Z31" s="28"/>
    </row>
    <row r="32">
      <c r="A32" s="175" t="s">
        <v>240</v>
      </c>
      <c r="B32" s="175" t="s">
        <v>241</v>
      </c>
      <c r="C32" s="177" t="s">
        <v>242</v>
      </c>
      <c r="D32" s="175" t="s">
        <v>213</v>
      </c>
      <c r="E32" s="146" t="s">
        <v>243</v>
      </c>
      <c r="F32" s="145">
        <v>46269.0</v>
      </c>
      <c r="G32" s="146" t="s">
        <v>14</v>
      </c>
      <c r="H32" s="63"/>
      <c r="I32" s="218"/>
      <c r="J32" s="28"/>
      <c r="K32" s="28"/>
      <c r="L32" s="28"/>
      <c r="M32" s="28"/>
      <c r="N32" s="28"/>
      <c r="O32" s="28"/>
      <c r="P32" s="28"/>
      <c r="Q32" s="28"/>
      <c r="R32" s="28"/>
      <c r="S32" s="28"/>
      <c r="T32" s="28"/>
      <c r="U32" s="28"/>
      <c r="V32" s="28"/>
      <c r="W32" s="28"/>
      <c r="X32" s="28"/>
      <c r="Y32" s="28"/>
      <c r="Z32" s="28"/>
    </row>
    <row r="33">
      <c r="A33" s="170" t="s">
        <v>172</v>
      </c>
      <c r="B33" s="172"/>
      <c r="C33" s="172"/>
      <c r="D33" s="172"/>
      <c r="E33" s="172"/>
      <c r="F33" s="213"/>
      <c r="G33" s="172"/>
      <c r="H33" s="223"/>
      <c r="I33" s="223"/>
      <c r="J33" s="28"/>
      <c r="K33" s="28"/>
      <c r="L33" s="28"/>
      <c r="M33" s="28"/>
      <c r="N33" s="28"/>
      <c r="O33" s="28"/>
      <c r="P33" s="28"/>
      <c r="Q33" s="28"/>
      <c r="R33" s="28"/>
      <c r="S33" s="28"/>
      <c r="T33" s="28"/>
      <c r="U33" s="28"/>
      <c r="V33" s="28"/>
      <c r="W33" s="28"/>
      <c r="X33" s="28"/>
      <c r="Y33" s="28"/>
      <c r="Z33" s="28"/>
    </row>
    <row r="34">
      <c r="A34" s="203" t="s">
        <v>163</v>
      </c>
      <c r="B34" s="203" t="s">
        <v>174</v>
      </c>
      <c r="C34" s="203" t="s">
        <v>250</v>
      </c>
      <c r="D34" s="203" t="s">
        <v>251</v>
      </c>
      <c r="E34" s="203" t="s">
        <v>252</v>
      </c>
      <c r="F34" s="153">
        <v>46269.0</v>
      </c>
      <c r="G34" s="155" t="s">
        <v>30</v>
      </c>
      <c r="H34" s="226" t="s">
        <v>253</v>
      </c>
      <c r="I34" s="230" t="s">
        <v>254</v>
      </c>
      <c r="J34" s="28"/>
      <c r="K34" s="28"/>
      <c r="L34" s="28"/>
      <c r="M34" s="28"/>
      <c r="N34" s="28"/>
      <c r="O34" s="28"/>
      <c r="P34" s="28"/>
      <c r="Q34" s="28"/>
      <c r="R34" s="28"/>
      <c r="S34" s="28"/>
      <c r="T34" s="28"/>
      <c r="U34" s="28"/>
      <c r="V34" s="28"/>
      <c r="W34" s="28"/>
      <c r="X34" s="28"/>
      <c r="Y34" s="28"/>
      <c r="Z34" s="28"/>
    </row>
    <row r="35">
      <c r="A35" s="147" t="s">
        <v>168</v>
      </c>
      <c r="B35" s="147" t="s">
        <v>278</v>
      </c>
      <c r="C35" s="147" t="s">
        <v>281</v>
      </c>
      <c r="D35" s="147" t="s">
        <v>283</v>
      </c>
      <c r="E35" s="147" t="s">
        <v>285</v>
      </c>
      <c r="F35" s="232">
        <v>46269.0</v>
      </c>
      <c r="G35" s="147" t="s">
        <v>14</v>
      </c>
      <c r="H35" s="234"/>
      <c r="I35" s="234"/>
      <c r="J35" s="28"/>
      <c r="K35" s="28"/>
      <c r="L35" s="28"/>
      <c r="M35" s="28"/>
      <c r="N35" s="28"/>
      <c r="O35" s="28"/>
      <c r="P35" s="28"/>
      <c r="Q35" s="28"/>
      <c r="R35" s="28"/>
      <c r="S35" s="28"/>
      <c r="T35" s="28"/>
      <c r="U35" s="28"/>
      <c r="V35" s="28"/>
      <c r="W35" s="28"/>
      <c r="X35" s="28"/>
      <c r="Y35" s="28"/>
      <c r="Z35" s="28"/>
    </row>
    <row r="36">
      <c r="A36" s="147" t="s">
        <v>173</v>
      </c>
      <c r="B36" s="147" t="s">
        <v>292</v>
      </c>
      <c r="C36" s="147" t="s">
        <v>281</v>
      </c>
      <c r="D36" s="147" t="s">
        <v>295</v>
      </c>
      <c r="E36" s="147" t="s">
        <v>297</v>
      </c>
      <c r="F36" s="232">
        <v>46269.0</v>
      </c>
      <c r="G36" s="147" t="s">
        <v>14</v>
      </c>
      <c r="H36" s="234"/>
      <c r="I36" s="234"/>
      <c r="J36" s="28"/>
      <c r="K36" s="28"/>
      <c r="L36" s="28"/>
      <c r="M36" s="28"/>
      <c r="N36" s="28"/>
      <c r="O36" s="28"/>
      <c r="P36" s="28"/>
      <c r="Q36" s="28"/>
      <c r="R36" s="28"/>
      <c r="S36" s="28"/>
      <c r="T36" s="28"/>
      <c r="U36" s="28"/>
      <c r="V36" s="28"/>
      <c r="W36" s="28"/>
      <c r="X36" s="28"/>
      <c r="Y36" s="28"/>
      <c r="Z36" s="28"/>
    </row>
    <row r="37">
      <c r="A37" s="147" t="s">
        <v>179</v>
      </c>
      <c r="B37" s="147" t="s">
        <v>303</v>
      </c>
      <c r="C37" s="147" t="s">
        <v>304</v>
      </c>
      <c r="D37" s="147" t="s">
        <v>306</v>
      </c>
      <c r="E37" s="147" t="s">
        <v>308</v>
      </c>
      <c r="F37" s="232">
        <v>46269.0</v>
      </c>
      <c r="G37" s="147" t="s">
        <v>14</v>
      </c>
      <c r="H37" s="234"/>
      <c r="I37" s="234"/>
      <c r="J37" s="28"/>
      <c r="K37" s="28"/>
      <c r="L37" s="28"/>
      <c r="M37" s="28"/>
      <c r="N37" s="28"/>
      <c r="O37" s="28"/>
      <c r="P37" s="28"/>
      <c r="Q37" s="28"/>
      <c r="R37" s="28"/>
      <c r="S37" s="28"/>
      <c r="T37" s="28"/>
      <c r="U37" s="28"/>
      <c r="V37" s="28"/>
      <c r="W37" s="28"/>
      <c r="X37" s="28"/>
      <c r="Y37" s="28"/>
      <c r="Z37" s="28"/>
    </row>
    <row r="38">
      <c r="A38" s="147" t="s">
        <v>186</v>
      </c>
      <c r="B38" s="147" t="s">
        <v>314</v>
      </c>
      <c r="C38" s="147" t="s">
        <v>316</v>
      </c>
      <c r="D38" s="147" t="s">
        <v>318</v>
      </c>
      <c r="E38" s="147" t="s">
        <v>320</v>
      </c>
      <c r="F38" s="232">
        <v>46269.0</v>
      </c>
      <c r="G38" s="147" t="s">
        <v>14</v>
      </c>
      <c r="H38" s="234"/>
      <c r="I38" s="234"/>
      <c r="J38" s="28"/>
      <c r="K38" s="28"/>
      <c r="L38" s="28"/>
      <c r="M38" s="28"/>
      <c r="N38" s="28"/>
      <c r="O38" s="28"/>
      <c r="P38" s="28"/>
      <c r="Q38" s="28"/>
      <c r="R38" s="28"/>
      <c r="S38" s="28"/>
      <c r="T38" s="28"/>
      <c r="U38" s="28"/>
      <c r="V38" s="28"/>
      <c r="W38" s="28"/>
      <c r="X38" s="28"/>
      <c r="Y38" s="28"/>
      <c r="Z38" s="28"/>
    </row>
    <row r="39">
      <c r="A39" s="147" t="s">
        <v>194</v>
      </c>
      <c r="B39" s="147" t="s">
        <v>324</v>
      </c>
      <c r="C39" s="147" t="s">
        <v>327</v>
      </c>
      <c r="D39" s="147" t="s">
        <v>328</v>
      </c>
      <c r="E39" s="147" t="s">
        <v>330</v>
      </c>
      <c r="F39" s="232">
        <v>46269.0</v>
      </c>
      <c r="G39" s="147" t="s">
        <v>14</v>
      </c>
      <c r="H39" s="234"/>
      <c r="I39" s="234"/>
      <c r="J39" s="28"/>
      <c r="K39" s="28"/>
      <c r="L39" s="28"/>
      <c r="M39" s="28"/>
      <c r="N39" s="28"/>
      <c r="O39" s="28"/>
      <c r="P39" s="28"/>
      <c r="Q39" s="28"/>
      <c r="R39" s="28"/>
      <c r="S39" s="28"/>
      <c r="T39" s="28"/>
      <c r="U39" s="28"/>
      <c r="V39" s="28"/>
      <c r="W39" s="28"/>
      <c r="X39" s="28"/>
      <c r="Y39" s="28"/>
      <c r="Z39" s="28"/>
    </row>
    <row r="40">
      <c r="A40" s="147" t="s">
        <v>198</v>
      </c>
      <c r="B40" s="147" t="s">
        <v>336</v>
      </c>
      <c r="C40" s="147" t="s">
        <v>337</v>
      </c>
      <c r="D40" s="147" t="s">
        <v>340</v>
      </c>
      <c r="E40" s="147" t="s">
        <v>341</v>
      </c>
      <c r="F40" s="232">
        <v>46269.0</v>
      </c>
      <c r="G40" s="147" t="s">
        <v>14</v>
      </c>
      <c r="H40" s="234"/>
      <c r="I40" s="234"/>
      <c r="J40" s="28"/>
      <c r="K40" s="28"/>
      <c r="L40" s="28"/>
      <c r="M40" s="28"/>
      <c r="N40" s="28"/>
      <c r="O40" s="28"/>
      <c r="P40" s="28"/>
      <c r="Q40" s="28"/>
      <c r="R40" s="28"/>
      <c r="S40" s="28"/>
      <c r="T40" s="28"/>
      <c r="U40" s="28"/>
      <c r="V40" s="28"/>
      <c r="W40" s="28"/>
      <c r="X40" s="28"/>
      <c r="Y40" s="28"/>
      <c r="Z40" s="28"/>
    </row>
    <row r="41">
      <c r="A41" s="147" t="s">
        <v>202</v>
      </c>
      <c r="B41" s="147" t="s">
        <v>350</v>
      </c>
      <c r="C41" s="147" t="s">
        <v>352</v>
      </c>
      <c r="D41" s="147" t="s">
        <v>354</v>
      </c>
      <c r="E41" s="147" t="s">
        <v>356</v>
      </c>
      <c r="F41" s="232">
        <v>46269.0</v>
      </c>
      <c r="G41" s="147" t="s">
        <v>14</v>
      </c>
      <c r="H41" s="234"/>
      <c r="I41" s="234"/>
      <c r="J41" s="28"/>
      <c r="K41" s="28"/>
      <c r="L41" s="28"/>
      <c r="M41" s="28"/>
      <c r="N41" s="28"/>
      <c r="O41" s="28"/>
      <c r="P41" s="28"/>
      <c r="Q41" s="28"/>
      <c r="R41" s="28"/>
      <c r="S41" s="28"/>
      <c r="T41" s="28"/>
      <c r="U41" s="28"/>
      <c r="V41" s="28"/>
      <c r="W41" s="28"/>
      <c r="X41" s="28"/>
      <c r="Y41" s="28"/>
      <c r="Z41" s="28"/>
    </row>
    <row r="42">
      <c r="A42" s="147" t="s">
        <v>206</v>
      </c>
      <c r="B42" s="147" t="s">
        <v>361</v>
      </c>
      <c r="C42" s="147" t="s">
        <v>362</v>
      </c>
      <c r="D42" s="147" t="s">
        <v>354</v>
      </c>
      <c r="E42" s="147" t="s">
        <v>363</v>
      </c>
      <c r="F42" s="232">
        <v>46269.0</v>
      </c>
      <c r="G42" s="147" t="s">
        <v>14</v>
      </c>
      <c r="H42" s="234"/>
      <c r="I42" s="234"/>
      <c r="J42" s="28"/>
      <c r="K42" s="28"/>
      <c r="L42" s="28"/>
      <c r="M42" s="28"/>
      <c r="N42" s="28"/>
      <c r="O42" s="28"/>
      <c r="P42" s="28"/>
      <c r="Q42" s="28"/>
      <c r="R42" s="28"/>
      <c r="S42" s="28"/>
      <c r="T42" s="28"/>
      <c r="U42" s="28"/>
      <c r="V42" s="28"/>
      <c r="W42" s="28"/>
      <c r="X42" s="28"/>
      <c r="Y42" s="28"/>
      <c r="Z42" s="28"/>
    </row>
    <row r="43">
      <c r="A43" s="147" t="s">
        <v>214</v>
      </c>
      <c r="B43" s="147" t="s">
        <v>365</v>
      </c>
      <c r="C43" s="147" t="s">
        <v>366</v>
      </c>
      <c r="D43" s="147" t="s">
        <v>367</v>
      </c>
      <c r="E43" s="147" t="s">
        <v>368</v>
      </c>
      <c r="F43" s="232">
        <v>46269.0</v>
      </c>
      <c r="G43" s="147" t="s">
        <v>14</v>
      </c>
      <c r="H43" s="234"/>
      <c r="I43" s="234"/>
      <c r="J43" s="28"/>
      <c r="K43" s="28"/>
      <c r="L43" s="28"/>
      <c r="M43" s="28"/>
      <c r="N43" s="28"/>
      <c r="O43" s="28"/>
      <c r="P43" s="28"/>
      <c r="Q43" s="28"/>
      <c r="R43" s="28"/>
      <c r="S43" s="28"/>
      <c r="T43" s="28"/>
      <c r="U43" s="28"/>
      <c r="V43" s="28"/>
      <c r="W43" s="28"/>
      <c r="X43" s="28"/>
      <c r="Y43" s="28"/>
      <c r="Z43" s="28"/>
    </row>
    <row r="44">
      <c r="A44" s="147" t="s">
        <v>219</v>
      </c>
      <c r="B44" s="147" t="s">
        <v>374</v>
      </c>
      <c r="C44" s="147" t="s">
        <v>377</v>
      </c>
      <c r="D44" s="147" t="s">
        <v>354</v>
      </c>
      <c r="E44" s="147" t="s">
        <v>380</v>
      </c>
      <c r="F44" s="232">
        <v>46269.0</v>
      </c>
      <c r="G44" s="147" t="s">
        <v>14</v>
      </c>
      <c r="H44" s="234"/>
      <c r="I44" s="234"/>
      <c r="J44" s="28"/>
      <c r="K44" s="28"/>
      <c r="L44" s="28"/>
      <c r="M44" s="28"/>
      <c r="N44" s="28"/>
      <c r="O44" s="28"/>
      <c r="P44" s="28"/>
      <c r="Q44" s="28"/>
      <c r="R44" s="28"/>
      <c r="S44" s="28"/>
      <c r="T44" s="28"/>
      <c r="U44" s="28"/>
      <c r="V44" s="28"/>
      <c r="W44" s="28"/>
      <c r="X44" s="28"/>
      <c r="Y44" s="28"/>
      <c r="Z44" s="28"/>
    </row>
    <row r="45">
      <c r="A45" s="147" t="s">
        <v>224</v>
      </c>
      <c r="B45" s="147" t="s">
        <v>386</v>
      </c>
      <c r="C45" s="147" t="s">
        <v>388</v>
      </c>
      <c r="D45" s="147" t="s">
        <v>354</v>
      </c>
      <c r="E45" s="147" t="s">
        <v>391</v>
      </c>
      <c r="F45" s="232">
        <v>46269.0</v>
      </c>
      <c r="G45" s="147" t="s">
        <v>14</v>
      </c>
      <c r="H45" s="234"/>
      <c r="I45" s="234"/>
      <c r="J45" s="28"/>
      <c r="K45" s="28"/>
      <c r="L45" s="28"/>
      <c r="M45" s="28"/>
      <c r="N45" s="28"/>
      <c r="O45" s="28"/>
      <c r="P45" s="28"/>
      <c r="Q45" s="28"/>
      <c r="R45" s="28"/>
      <c r="S45" s="28"/>
      <c r="T45" s="28"/>
      <c r="U45" s="28"/>
      <c r="V45" s="28"/>
      <c r="W45" s="28"/>
      <c r="X45" s="28"/>
      <c r="Y45" s="28"/>
      <c r="Z45" s="28"/>
    </row>
    <row r="46">
      <c r="A46" s="147" t="s">
        <v>232</v>
      </c>
      <c r="B46" s="147" t="s">
        <v>399</v>
      </c>
      <c r="C46" s="147" t="s">
        <v>400</v>
      </c>
      <c r="D46" s="147" t="s">
        <v>29</v>
      </c>
      <c r="E46" s="147" t="s">
        <v>402</v>
      </c>
      <c r="F46" s="232">
        <v>46269.0</v>
      </c>
      <c r="G46" s="147" t="s">
        <v>14</v>
      </c>
      <c r="H46" s="234"/>
      <c r="I46" s="234"/>
      <c r="J46" s="28"/>
      <c r="K46" s="28"/>
      <c r="L46" s="28"/>
      <c r="M46" s="28"/>
      <c r="N46" s="28"/>
      <c r="O46" s="28"/>
      <c r="P46" s="28"/>
      <c r="Q46" s="28"/>
      <c r="R46" s="28"/>
      <c r="S46" s="28"/>
      <c r="T46" s="28"/>
      <c r="U46" s="28"/>
      <c r="V46" s="28"/>
      <c r="W46" s="28"/>
      <c r="X46" s="28"/>
      <c r="Y46" s="28"/>
      <c r="Z46" s="28"/>
    </row>
    <row r="47" ht="70.5" customHeight="1">
      <c r="A47" s="226" t="s">
        <v>244</v>
      </c>
      <c r="B47" s="226" t="s">
        <v>409</v>
      </c>
      <c r="C47" s="226" t="s">
        <v>411</v>
      </c>
      <c r="D47" s="226" t="s">
        <v>29</v>
      </c>
      <c r="E47" s="226" t="s">
        <v>414</v>
      </c>
      <c r="F47" s="248">
        <v>46269.0</v>
      </c>
      <c r="G47" s="226" t="s">
        <v>30</v>
      </c>
      <c r="H47" s="226" t="s">
        <v>420</v>
      </c>
      <c r="I47" s="249"/>
      <c r="J47" s="28"/>
      <c r="K47" s="28"/>
      <c r="L47" s="28"/>
      <c r="M47" s="28"/>
      <c r="N47" s="28"/>
      <c r="O47" s="28"/>
      <c r="P47" s="28"/>
      <c r="Q47" s="28"/>
      <c r="R47" s="28"/>
      <c r="S47" s="28"/>
      <c r="T47" s="28"/>
      <c r="U47" s="28"/>
      <c r="V47" s="28"/>
      <c r="W47" s="28"/>
      <c r="X47" s="28"/>
      <c r="Y47" s="28"/>
      <c r="Z47" s="28"/>
    </row>
    <row r="48">
      <c r="A48" s="250" t="s">
        <v>431</v>
      </c>
      <c r="B48" s="251"/>
      <c r="C48" s="252"/>
      <c r="D48" s="252"/>
      <c r="E48" s="252"/>
      <c r="F48" s="253"/>
      <c r="G48" s="252"/>
      <c r="H48" s="252"/>
      <c r="I48" s="252"/>
      <c r="J48" s="28"/>
      <c r="K48" s="28"/>
      <c r="L48" s="28"/>
      <c r="M48" s="28"/>
      <c r="N48" s="28"/>
      <c r="O48" s="28"/>
      <c r="P48" s="28"/>
      <c r="Q48" s="28"/>
      <c r="R48" s="28"/>
      <c r="S48" s="28"/>
      <c r="T48" s="28"/>
      <c r="U48" s="28"/>
      <c r="V48" s="28"/>
      <c r="W48" s="28"/>
      <c r="X48" s="28"/>
      <c r="Y48" s="28"/>
      <c r="Z48" s="28"/>
    </row>
    <row r="49">
      <c r="A49" s="147" t="s">
        <v>256</v>
      </c>
      <c r="B49" s="152" t="s">
        <v>449</v>
      </c>
      <c r="C49" s="147" t="s">
        <v>450</v>
      </c>
      <c r="D49" s="147" t="s">
        <v>213</v>
      </c>
      <c r="E49" s="147" t="s">
        <v>451</v>
      </c>
      <c r="F49" s="232">
        <v>46269.0</v>
      </c>
      <c r="G49" s="147" t="s">
        <v>14</v>
      </c>
      <c r="H49" s="234"/>
      <c r="I49" s="234"/>
      <c r="J49" s="28"/>
      <c r="K49" s="28"/>
      <c r="L49" s="28"/>
      <c r="M49" s="28"/>
      <c r="N49" s="28"/>
      <c r="O49" s="28"/>
      <c r="P49" s="28"/>
      <c r="Q49" s="28"/>
      <c r="R49" s="28"/>
      <c r="S49" s="28"/>
      <c r="T49" s="28"/>
      <c r="U49" s="28"/>
      <c r="V49" s="28"/>
      <c r="W49" s="28"/>
      <c r="X49" s="28"/>
      <c r="Y49" s="28"/>
      <c r="Z49" s="28"/>
    </row>
    <row r="50">
      <c r="A50" s="147" t="s">
        <v>262</v>
      </c>
      <c r="B50" s="152" t="s">
        <v>453</v>
      </c>
      <c r="C50" s="147" t="s">
        <v>454</v>
      </c>
      <c r="D50" s="147" t="s">
        <v>343</v>
      </c>
      <c r="E50" s="147" t="s">
        <v>455</v>
      </c>
      <c r="F50" s="232">
        <v>46269.0</v>
      </c>
      <c r="G50" s="147" t="s">
        <v>14</v>
      </c>
      <c r="H50" s="234"/>
      <c r="I50" s="234"/>
      <c r="J50" s="28"/>
      <c r="K50" s="28"/>
      <c r="L50" s="28"/>
      <c r="M50" s="28"/>
      <c r="N50" s="28"/>
      <c r="O50" s="28"/>
      <c r="P50" s="28"/>
      <c r="Q50" s="28"/>
      <c r="R50" s="28"/>
      <c r="S50" s="28"/>
      <c r="T50" s="28"/>
      <c r="U50" s="28"/>
      <c r="V50" s="28"/>
      <c r="W50" s="28"/>
      <c r="X50" s="28"/>
      <c r="Y50" s="28"/>
      <c r="Z50" s="28"/>
    </row>
    <row r="51">
      <c r="A51" s="147" t="s">
        <v>267</v>
      </c>
      <c r="B51" s="147" t="s">
        <v>292</v>
      </c>
      <c r="C51" s="147" t="s">
        <v>454</v>
      </c>
      <c r="D51" s="147" t="s">
        <v>467</v>
      </c>
      <c r="E51" s="147" t="s">
        <v>297</v>
      </c>
      <c r="F51" s="232">
        <v>46269.0</v>
      </c>
      <c r="G51" s="147" t="s">
        <v>14</v>
      </c>
      <c r="H51" s="234"/>
      <c r="I51" s="234"/>
      <c r="J51" s="28"/>
      <c r="K51" s="28"/>
      <c r="L51" s="28"/>
      <c r="M51" s="28"/>
      <c r="N51" s="28"/>
      <c r="O51" s="28"/>
      <c r="P51" s="28"/>
      <c r="Q51" s="28"/>
      <c r="R51" s="28"/>
      <c r="S51" s="28"/>
      <c r="T51" s="28"/>
      <c r="U51" s="28"/>
      <c r="V51" s="28"/>
      <c r="W51" s="28"/>
      <c r="X51" s="28"/>
      <c r="Y51" s="28"/>
      <c r="Z51" s="28"/>
    </row>
    <row r="52">
      <c r="A52" s="147" t="s">
        <v>272</v>
      </c>
      <c r="B52" s="152" t="s">
        <v>314</v>
      </c>
      <c r="C52" s="147" t="s">
        <v>475</v>
      </c>
      <c r="D52" s="147" t="s">
        <v>318</v>
      </c>
      <c r="E52" s="147" t="s">
        <v>476</v>
      </c>
      <c r="F52" s="232">
        <v>46269.0</v>
      </c>
      <c r="G52" s="147" t="s">
        <v>14</v>
      </c>
      <c r="H52" s="234"/>
      <c r="I52" s="234"/>
      <c r="J52" s="28"/>
      <c r="K52" s="28"/>
      <c r="L52" s="28"/>
      <c r="M52" s="28"/>
      <c r="N52" s="28"/>
      <c r="O52" s="28"/>
      <c r="P52" s="28"/>
      <c r="Q52" s="28"/>
      <c r="R52" s="28"/>
      <c r="S52" s="28"/>
      <c r="T52" s="28"/>
      <c r="U52" s="28"/>
      <c r="V52" s="28"/>
      <c r="W52" s="28"/>
      <c r="X52" s="28"/>
      <c r="Y52" s="28"/>
      <c r="Z52" s="28"/>
    </row>
    <row r="53">
      <c r="A53" s="147" t="s">
        <v>279</v>
      </c>
      <c r="B53" s="152" t="s">
        <v>484</v>
      </c>
      <c r="C53" s="147" t="s">
        <v>485</v>
      </c>
      <c r="D53" s="147" t="s">
        <v>487</v>
      </c>
      <c r="E53" s="147" t="s">
        <v>489</v>
      </c>
      <c r="F53" s="232">
        <v>46269.0</v>
      </c>
      <c r="G53" s="147" t="s">
        <v>14</v>
      </c>
      <c r="H53" s="234"/>
      <c r="I53" s="234"/>
      <c r="J53" s="28"/>
      <c r="K53" s="28"/>
      <c r="L53" s="28"/>
      <c r="M53" s="28"/>
      <c r="N53" s="28"/>
      <c r="O53" s="28"/>
      <c r="P53" s="28"/>
      <c r="Q53" s="28"/>
      <c r="R53" s="28"/>
      <c r="S53" s="28"/>
      <c r="T53" s="28"/>
      <c r="U53" s="28"/>
      <c r="V53" s="28"/>
      <c r="W53" s="28"/>
      <c r="X53" s="28"/>
      <c r="Y53" s="28"/>
      <c r="Z53" s="28"/>
    </row>
    <row r="54">
      <c r="A54" s="147" t="s">
        <v>287</v>
      </c>
      <c r="B54" s="152" t="s">
        <v>497</v>
      </c>
      <c r="C54" s="147" t="s">
        <v>498</v>
      </c>
      <c r="D54" s="147" t="s">
        <v>328</v>
      </c>
      <c r="E54" s="147" t="s">
        <v>503</v>
      </c>
      <c r="F54" s="232">
        <v>46269.0</v>
      </c>
      <c r="G54" s="147" t="s">
        <v>14</v>
      </c>
      <c r="H54" s="234"/>
      <c r="I54" s="234"/>
      <c r="J54" s="28"/>
      <c r="K54" s="28"/>
      <c r="L54" s="28"/>
      <c r="M54" s="28"/>
      <c r="N54" s="28"/>
      <c r="O54" s="28"/>
      <c r="P54" s="28"/>
      <c r="Q54" s="28"/>
      <c r="R54" s="28"/>
      <c r="S54" s="28"/>
      <c r="T54" s="28"/>
      <c r="U54" s="28"/>
      <c r="V54" s="28"/>
      <c r="W54" s="28"/>
      <c r="X54" s="28"/>
      <c r="Y54" s="28"/>
      <c r="Z54" s="28"/>
    </row>
    <row r="55">
      <c r="A55" s="147" t="s">
        <v>291</v>
      </c>
      <c r="B55" s="152" t="s">
        <v>508</v>
      </c>
      <c r="C55" s="147" t="s">
        <v>450</v>
      </c>
      <c r="D55" s="147" t="s">
        <v>213</v>
      </c>
      <c r="E55" s="147" t="s">
        <v>509</v>
      </c>
      <c r="F55" s="232">
        <v>46269.0</v>
      </c>
      <c r="G55" s="147" t="s">
        <v>14</v>
      </c>
      <c r="H55" s="234"/>
      <c r="I55" s="234"/>
      <c r="J55" s="28"/>
      <c r="K55" s="28"/>
      <c r="L55" s="28"/>
      <c r="M55" s="28"/>
      <c r="N55" s="28"/>
      <c r="O55" s="28"/>
      <c r="P55" s="28"/>
      <c r="Q55" s="28"/>
      <c r="R55" s="28"/>
      <c r="S55" s="28"/>
      <c r="T55" s="28"/>
      <c r="U55" s="28"/>
      <c r="V55" s="28"/>
      <c r="W55" s="28"/>
      <c r="X55" s="28"/>
      <c r="Y55" s="28"/>
      <c r="Z55" s="28"/>
    </row>
    <row r="56">
      <c r="A56" s="265"/>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sheetData>
  <mergeCells count="5">
    <mergeCell ref="B2:D2"/>
    <mergeCell ref="B3:D3"/>
    <mergeCell ref="B4:E4"/>
    <mergeCell ref="A7:E7"/>
    <mergeCell ref="A9:I9"/>
  </mergeCells>
  <hyperlinks>
    <hyperlink r:id="rId1" ref="D14"/>
    <hyperlink r:id="rId2" ref="I15"/>
    <hyperlink r:id="rId3" ref="I22"/>
    <hyperlink r:id="rId4" ref="I27"/>
    <hyperlink r:id="rId5" ref="I34"/>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7.13"/>
    <col customWidth="1" min="3" max="3" width="53.25"/>
    <col customWidth="1" min="4" max="4" width="24.75"/>
    <col customWidth="1" min="5" max="5" width="36.13"/>
    <col customWidth="1" min="6" max="6" width="28.25"/>
    <col customWidth="1" min="7" max="7" width="18.0"/>
    <col customWidth="1" min="8" max="8" width="29.75"/>
    <col customWidth="1" min="9" max="9" width="68.38"/>
  </cols>
  <sheetData>
    <row r="1">
      <c r="A1" s="15" t="s">
        <v>0</v>
      </c>
      <c r="B1" s="18"/>
      <c r="C1" s="24"/>
      <c r="D1" s="18"/>
      <c r="E1" s="18"/>
      <c r="F1" s="18"/>
      <c r="G1" s="18"/>
      <c r="H1" s="18"/>
      <c r="I1" s="18"/>
      <c r="J1" s="30"/>
      <c r="K1" s="30"/>
      <c r="L1" s="30"/>
      <c r="M1" s="30"/>
      <c r="N1" s="30"/>
      <c r="O1" s="30"/>
      <c r="P1" s="30"/>
      <c r="Q1" s="30"/>
      <c r="R1" s="30"/>
      <c r="S1" s="30"/>
      <c r="T1" s="30"/>
      <c r="U1" s="30"/>
      <c r="V1" s="30"/>
      <c r="W1" s="30"/>
      <c r="X1" s="30"/>
      <c r="Y1" s="30"/>
      <c r="Z1" s="30"/>
    </row>
    <row r="2">
      <c r="A2" s="40" t="s">
        <v>4</v>
      </c>
      <c r="B2" s="46" t="s">
        <v>6</v>
      </c>
      <c r="C2" s="19"/>
      <c r="D2" s="22"/>
      <c r="E2" s="18"/>
      <c r="F2" s="18"/>
      <c r="G2" s="18"/>
      <c r="H2" s="18"/>
      <c r="I2" s="18"/>
      <c r="J2" s="30"/>
      <c r="K2" s="30"/>
      <c r="L2" s="30"/>
      <c r="M2" s="30"/>
      <c r="N2" s="30"/>
      <c r="O2" s="30"/>
      <c r="P2" s="30"/>
      <c r="Q2" s="30"/>
      <c r="R2" s="30"/>
      <c r="S2" s="30"/>
      <c r="T2" s="30"/>
      <c r="U2" s="30"/>
      <c r="V2" s="30"/>
      <c r="W2" s="30"/>
      <c r="X2" s="30"/>
      <c r="Y2" s="30"/>
      <c r="Z2" s="30"/>
    </row>
    <row r="3">
      <c r="A3" s="51" t="s">
        <v>7</v>
      </c>
      <c r="B3" s="46" t="s">
        <v>8</v>
      </c>
      <c r="C3" s="19"/>
      <c r="D3" s="22"/>
      <c r="E3" s="18"/>
      <c r="F3" s="18"/>
      <c r="G3" s="18"/>
      <c r="H3" s="18"/>
      <c r="I3" s="18"/>
      <c r="J3" s="30"/>
      <c r="K3" s="30"/>
      <c r="L3" s="30"/>
      <c r="M3" s="30"/>
      <c r="N3" s="30"/>
      <c r="O3" s="30"/>
      <c r="P3" s="30"/>
      <c r="Q3" s="30"/>
      <c r="R3" s="30"/>
      <c r="S3" s="30"/>
      <c r="T3" s="30"/>
      <c r="U3" s="30"/>
      <c r="V3" s="30"/>
      <c r="W3" s="30"/>
      <c r="X3" s="30"/>
      <c r="Y3" s="30"/>
      <c r="Z3" s="30"/>
    </row>
    <row r="4">
      <c r="A4" s="51" t="s">
        <v>11</v>
      </c>
      <c r="B4" s="59"/>
      <c r="C4" s="63"/>
      <c r="D4" s="24"/>
      <c r="E4" s="18"/>
      <c r="F4" s="18"/>
      <c r="G4" s="18"/>
      <c r="H4" s="18"/>
      <c r="I4" s="18"/>
      <c r="J4" s="30"/>
      <c r="K4" s="30"/>
      <c r="L4" s="30"/>
      <c r="M4" s="30"/>
      <c r="N4" s="30"/>
      <c r="O4" s="30"/>
      <c r="P4" s="30"/>
      <c r="Q4" s="30"/>
      <c r="R4" s="30"/>
      <c r="S4" s="30"/>
      <c r="T4" s="30"/>
      <c r="U4" s="30"/>
      <c r="V4" s="30"/>
      <c r="W4" s="30"/>
      <c r="X4" s="30"/>
      <c r="Y4" s="30"/>
      <c r="Z4" s="30"/>
    </row>
    <row r="5">
      <c r="A5" s="51" t="s">
        <v>14</v>
      </c>
      <c r="B5" s="79">
        <f>COUNTIF(G:G,"Pass")</f>
        <v>51</v>
      </c>
      <c r="C5" s="40" t="s">
        <v>25</v>
      </c>
      <c r="D5" s="90">
        <f>COUNTIF(G:G,"Pending")</f>
        <v>0</v>
      </c>
      <c r="E5" s="18"/>
      <c r="F5" s="18"/>
      <c r="G5" s="18"/>
      <c r="H5" s="18"/>
      <c r="I5" s="18"/>
      <c r="J5" s="30"/>
      <c r="K5" s="30"/>
      <c r="L5" s="30"/>
      <c r="M5" s="30"/>
      <c r="N5" s="30"/>
      <c r="O5" s="30"/>
      <c r="P5" s="30"/>
      <c r="Q5" s="30"/>
      <c r="R5" s="30"/>
      <c r="S5" s="30"/>
      <c r="T5" s="30"/>
      <c r="U5" s="30"/>
      <c r="V5" s="30"/>
      <c r="W5" s="30"/>
      <c r="X5" s="30"/>
      <c r="Y5" s="30"/>
      <c r="Z5" s="30"/>
    </row>
    <row r="6">
      <c r="A6" s="51" t="s">
        <v>30</v>
      </c>
      <c r="B6" s="90">
        <f>COUNTIF(G:G,"Fail")</f>
        <v>5</v>
      </c>
      <c r="C6" s="98" t="s">
        <v>32</v>
      </c>
      <c r="D6" s="103">
        <f>COUNTIF(A:A,"*TC*")</f>
        <v>56</v>
      </c>
      <c r="E6" s="105"/>
      <c r="F6" s="105"/>
      <c r="G6" s="105"/>
      <c r="H6" s="105"/>
      <c r="I6" s="18"/>
      <c r="J6" s="30"/>
      <c r="K6" s="30"/>
      <c r="L6" s="30"/>
      <c r="M6" s="30"/>
      <c r="N6" s="30"/>
      <c r="O6" s="30"/>
      <c r="P6" s="30"/>
      <c r="Q6" s="30"/>
      <c r="R6" s="30"/>
      <c r="S6" s="30"/>
      <c r="T6" s="30"/>
      <c r="U6" s="30"/>
      <c r="V6" s="30"/>
      <c r="W6" s="30"/>
      <c r="X6" s="30"/>
      <c r="Y6" s="30"/>
      <c r="Z6" s="30"/>
    </row>
    <row r="7">
      <c r="A7" s="110"/>
      <c r="B7" s="72"/>
      <c r="C7" s="72"/>
      <c r="D7" s="72"/>
      <c r="E7" s="72"/>
      <c r="F7" s="112"/>
      <c r="G7" s="112"/>
      <c r="H7" s="112"/>
      <c r="I7" s="112"/>
      <c r="J7" s="30"/>
      <c r="K7" s="30"/>
      <c r="L7" s="30"/>
      <c r="M7" s="30"/>
      <c r="N7" s="30"/>
      <c r="O7" s="30"/>
      <c r="P7" s="30"/>
      <c r="Q7" s="30"/>
      <c r="R7" s="30"/>
      <c r="S7" s="30"/>
      <c r="T7" s="30"/>
      <c r="U7" s="30"/>
      <c r="V7" s="30"/>
      <c r="W7" s="30"/>
      <c r="X7" s="30"/>
      <c r="Y7" s="30"/>
      <c r="Z7" s="30"/>
    </row>
    <row r="8">
      <c r="A8" s="116" t="s">
        <v>33</v>
      </c>
      <c r="B8" s="116" t="s">
        <v>34</v>
      </c>
      <c r="C8" s="116" t="s">
        <v>35</v>
      </c>
      <c r="D8" s="117" t="s">
        <v>36</v>
      </c>
      <c r="E8" s="119" t="s">
        <v>37</v>
      </c>
      <c r="F8" s="120" t="s">
        <v>38</v>
      </c>
      <c r="G8" s="121" t="s">
        <v>39</v>
      </c>
      <c r="H8" s="121" t="s">
        <v>40</v>
      </c>
      <c r="I8" s="121" t="s">
        <v>41</v>
      </c>
      <c r="J8" s="30"/>
      <c r="K8" s="30"/>
      <c r="L8" s="30"/>
      <c r="M8" s="30"/>
      <c r="N8" s="30"/>
      <c r="O8" s="30"/>
      <c r="P8" s="30"/>
      <c r="Q8" s="30"/>
      <c r="R8" s="30"/>
      <c r="S8" s="30"/>
      <c r="T8" s="30"/>
      <c r="U8" s="30"/>
      <c r="V8" s="30"/>
      <c r="W8" s="30"/>
      <c r="X8" s="30"/>
      <c r="Y8" s="30"/>
      <c r="Z8" s="30"/>
    </row>
    <row r="9">
      <c r="A9" s="125"/>
      <c r="B9" s="19"/>
      <c r="C9" s="19"/>
      <c r="D9" s="19"/>
      <c r="E9" s="19"/>
      <c r="F9" s="19"/>
      <c r="G9" s="19"/>
      <c r="H9" s="19"/>
      <c r="I9" s="22"/>
      <c r="J9" s="30"/>
      <c r="K9" s="30"/>
      <c r="L9" s="30"/>
      <c r="M9" s="30"/>
      <c r="N9" s="30"/>
      <c r="O9" s="30"/>
      <c r="P9" s="30"/>
      <c r="Q9" s="30"/>
      <c r="R9" s="30"/>
      <c r="S9" s="30"/>
      <c r="T9" s="30"/>
      <c r="U9" s="30"/>
      <c r="V9" s="30"/>
      <c r="W9" s="30"/>
      <c r="X9" s="30"/>
      <c r="Y9" s="30"/>
      <c r="Z9" s="30"/>
    </row>
    <row r="10">
      <c r="A10" s="96" t="s">
        <v>43</v>
      </c>
      <c r="B10" s="99"/>
      <c r="C10" s="99"/>
      <c r="D10" s="99"/>
      <c r="E10" s="99"/>
      <c r="F10" s="99"/>
      <c r="G10" s="99"/>
      <c r="H10" s="99"/>
      <c r="I10" s="99"/>
      <c r="J10" s="30"/>
      <c r="K10" s="30"/>
      <c r="L10" s="30"/>
      <c r="M10" s="30"/>
      <c r="N10" s="30"/>
      <c r="O10" s="30"/>
      <c r="P10" s="30"/>
      <c r="Q10" s="30"/>
      <c r="R10" s="30"/>
      <c r="S10" s="30"/>
      <c r="T10" s="30"/>
      <c r="U10" s="30"/>
      <c r="V10" s="30"/>
      <c r="W10" s="30"/>
      <c r="X10" s="30"/>
      <c r="Y10" s="30"/>
      <c r="Z10" s="30"/>
    </row>
    <row r="11">
      <c r="A11" s="100" t="s">
        <v>44</v>
      </c>
      <c r="B11" s="102" t="s">
        <v>45</v>
      </c>
      <c r="C11" s="104" t="s">
        <v>46</v>
      </c>
      <c r="D11" s="102" t="s">
        <v>72</v>
      </c>
      <c r="E11" s="104" t="s">
        <v>48</v>
      </c>
      <c r="F11" s="132">
        <v>46270.0</v>
      </c>
      <c r="G11" s="104" t="s">
        <v>14</v>
      </c>
      <c r="H11" s="108"/>
      <c r="I11" s="108"/>
      <c r="J11" s="30"/>
      <c r="K11" s="30"/>
      <c r="L11" s="30"/>
      <c r="M11" s="30"/>
      <c r="N11" s="30"/>
      <c r="O11" s="30"/>
      <c r="P11" s="30"/>
      <c r="Q11" s="30"/>
      <c r="R11" s="30"/>
      <c r="S11" s="30"/>
      <c r="T11" s="30"/>
      <c r="U11" s="30"/>
      <c r="V11" s="30"/>
      <c r="W11" s="30"/>
      <c r="X11" s="30"/>
      <c r="Y11" s="30"/>
      <c r="Z11" s="30"/>
    </row>
    <row r="12" ht="90.0" customHeight="1">
      <c r="A12" s="100" t="s">
        <v>49</v>
      </c>
      <c r="B12" s="102" t="s">
        <v>50</v>
      </c>
      <c r="C12" s="104" t="s">
        <v>51</v>
      </c>
      <c r="D12" s="102" t="s">
        <v>52</v>
      </c>
      <c r="E12" s="104" t="s">
        <v>53</v>
      </c>
      <c r="F12" s="132">
        <v>46270.0</v>
      </c>
      <c r="G12" s="104" t="s">
        <v>14</v>
      </c>
      <c r="H12" s="108"/>
      <c r="I12" s="108"/>
      <c r="J12" s="30"/>
      <c r="K12" s="30"/>
      <c r="L12" s="30"/>
      <c r="M12" s="30"/>
      <c r="N12" s="30"/>
      <c r="O12" s="30"/>
      <c r="P12" s="30"/>
      <c r="Q12" s="30"/>
      <c r="R12" s="30"/>
      <c r="S12" s="30"/>
      <c r="T12" s="30"/>
      <c r="U12" s="30"/>
      <c r="V12" s="30"/>
      <c r="W12" s="30"/>
      <c r="X12" s="30"/>
      <c r="Y12" s="30"/>
      <c r="Z12" s="30"/>
    </row>
    <row r="13">
      <c r="A13" s="100" t="s">
        <v>54</v>
      </c>
      <c r="B13" s="102" t="s">
        <v>55</v>
      </c>
      <c r="C13" s="104" t="s">
        <v>56</v>
      </c>
      <c r="D13" s="102" t="s">
        <v>57</v>
      </c>
      <c r="E13" s="104" t="s">
        <v>58</v>
      </c>
      <c r="F13" s="132">
        <v>46270.0</v>
      </c>
      <c r="G13" s="104" t="s">
        <v>14</v>
      </c>
      <c r="H13" s="108"/>
      <c r="I13" s="108"/>
      <c r="J13" s="30"/>
      <c r="K13" s="30"/>
      <c r="L13" s="30"/>
      <c r="M13" s="30"/>
      <c r="N13" s="30"/>
      <c r="O13" s="30"/>
      <c r="P13" s="30"/>
      <c r="Q13" s="30"/>
      <c r="R13" s="30"/>
      <c r="S13" s="30"/>
      <c r="T13" s="30"/>
      <c r="U13" s="30"/>
      <c r="V13" s="30"/>
      <c r="W13" s="30"/>
      <c r="X13" s="30"/>
      <c r="Y13" s="30"/>
      <c r="Z13" s="30"/>
    </row>
    <row r="14">
      <c r="A14" s="100" t="s">
        <v>59</v>
      </c>
      <c r="B14" s="102" t="s">
        <v>60</v>
      </c>
      <c r="C14" s="104" t="s">
        <v>61</v>
      </c>
      <c r="D14" s="126" t="s">
        <v>96</v>
      </c>
      <c r="E14" s="104" t="s">
        <v>63</v>
      </c>
      <c r="F14" s="132">
        <v>46270.0</v>
      </c>
      <c r="G14" s="104" t="s">
        <v>14</v>
      </c>
      <c r="H14" s="108"/>
      <c r="I14" s="108"/>
      <c r="J14" s="30"/>
      <c r="K14" s="30"/>
      <c r="L14" s="30"/>
      <c r="M14" s="30"/>
      <c r="N14" s="30"/>
      <c r="O14" s="30"/>
      <c r="P14" s="30"/>
      <c r="Q14" s="30"/>
      <c r="R14" s="30"/>
      <c r="S14" s="30"/>
      <c r="T14" s="30"/>
      <c r="U14" s="30"/>
      <c r="V14" s="30"/>
      <c r="W14" s="30"/>
      <c r="X14" s="30"/>
      <c r="Y14" s="30"/>
      <c r="Z14" s="30"/>
    </row>
    <row r="15" ht="102.0" customHeight="1">
      <c r="A15" s="127" t="s">
        <v>64</v>
      </c>
      <c r="B15" s="128" t="s">
        <v>65</v>
      </c>
      <c r="C15" s="129" t="s">
        <v>67</v>
      </c>
      <c r="D15" s="128" t="s">
        <v>68</v>
      </c>
      <c r="E15" s="129" t="s">
        <v>69</v>
      </c>
      <c r="F15" s="151">
        <v>46270.0</v>
      </c>
      <c r="G15" s="129" t="s">
        <v>14</v>
      </c>
      <c r="H15" s="129" t="s">
        <v>70</v>
      </c>
      <c r="I15" s="154"/>
      <c r="J15" s="30"/>
      <c r="K15" s="30"/>
      <c r="L15" s="30"/>
      <c r="M15" s="30"/>
      <c r="N15" s="30"/>
      <c r="O15" s="30"/>
      <c r="P15" s="30"/>
      <c r="Q15" s="30"/>
      <c r="R15" s="30"/>
      <c r="S15" s="30"/>
      <c r="T15" s="30"/>
      <c r="U15" s="30"/>
      <c r="V15" s="30"/>
      <c r="W15" s="30"/>
      <c r="X15" s="30"/>
      <c r="Y15" s="30"/>
      <c r="Z15" s="30"/>
    </row>
    <row r="16">
      <c r="A16" s="134" t="s">
        <v>74</v>
      </c>
      <c r="B16" s="135" t="s">
        <v>75</v>
      </c>
      <c r="C16" s="104" t="s">
        <v>76</v>
      </c>
      <c r="D16" s="102" t="s">
        <v>77</v>
      </c>
      <c r="E16" s="104" t="s">
        <v>48</v>
      </c>
      <c r="F16" s="132">
        <v>46270.0</v>
      </c>
      <c r="G16" s="104" t="s">
        <v>14</v>
      </c>
      <c r="H16" s="104"/>
      <c r="I16" s="108"/>
      <c r="J16" s="30"/>
      <c r="K16" s="30"/>
      <c r="L16" s="30"/>
      <c r="M16" s="30"/>
      <c r="N16" s="30"/>
      <c r="O16" s="30"/>
      <c r="P16" s="30"/>
      <c r="Q16" s="30"/>
      <c r="R16" s="30"/>
      <c r="S16" s="30"/>
      <c r="T16" s="30"/>
      <c r="U16" s="30"/>
      <c r="V16" s="30"/>
      <c r="W16" s="30"/>
      <c r="X16" s="30"/>
      <c r="Y16" s="30"/>
      <c r="Z16" s="30"/>
    </row>
    <row r="17" ht="77.25" customHeight="1">
      <c r="A17" s="134" t="s">
        <v>78</v>
      </c>
      <c r="B17" s="135" t="s">
        <v>79</v>
      </c>
      <c r="C17" s="104" t="s">
        <v>80</v>
      </c>
      <c r="D17" s="135" t="s">
        <v>81</v>
      </c>
      <c r="E17" s="104" t="s">
        <v>48</v>
      </c>
      <c r="F17" s="132">
        <v>46270.0</v>
      </c>
      <c r="G17" s="104" t="s">
        <v>14</v>
      </c>
      <c r="H17" s="104"/>
      <c r="I17" s="108"/>
      <c r="J17" s="30"/>
      <c r="K17" s="30"/>
      <c r="L17" s="30"/>
      <c r="M17" s="30"/>
      <c r="N17" s="30"/>
      <c r="O17" s="30"/>
      <c r="P17" s="30"/>
      <c r="Q17" s="30"/>
      <c r="R17" s="30"/>
      <c r="S17" s="30"/>
      <c r="T17" s="30"/>
      <c r="U17" s="30"/>
      <c r="V17" s="30"/>
      <c r="W17" s="30"/>
      <c r="X17" s="30"/>
      <c r="Y17" s="30"/>
      <c r="Z17" s="30"/>
    </row>
    <row r="18" ht="86.25" customHeight="1">
      <c r="A18" s="134" t="s">
        <v>82</v>
      </c>
      <c r="B18" s="135" t="s">
        <v>83</v>
      </c>
      <c r="C18" s="104" t="s">
        <v>84</v>
      </c>
      <c r="D18" s="135" t="s">
        <v>85</v>
      </c>
      <c r="E18" s="104" t="s">
        <v>58</v>
      </c>
      <c r="F18" s="132">
        <v>46270.0</v>
      </c>
      <c r="G18" s="104" t="s">
        <v>14</v>
      </c>
      <c r="H18" s="104"/>
      <c r="I18" s="108"/>
      <c r="J18" s="30"/>
      <c r="K18" s="30"/>
      <c r="L18" s="30"/>
      <c r="M18" s="30"/>
      <c r="N18" s="30"/>
      <c r="O18" s="30"/>
      <c r="P18" s="30"/>
      <c r="Q18" s="30"/>
      <c r="R18" s="30"/>
      <c r="S18" s="30"/>
      <c r="T18" s="30"/>
      <c r="U18" s="30"/>
      <c r="V18" s="30"/>
      <c r="W18" s="30"/>
      <c r="X18" s="30"/>
      <c r="Y18" s="30"/>
      <c r="Z18" s="30"/>
    </row>
    <row r="19" ht="100.5" customHeight="1">
      <c r="A19" s="134" t="s">
        <v>86</v>
      </c>
      <c r="B19" s="135" t="s">
        <v>87</v>
      </c>
      <c r="C19" s="104" t="s">
        <v>88</v>
      </c>
      <c r="D19" s="135" t="s">
        <v>89</v>
      </c>
      <c r="E19" s="104" t="s">
        <v>58</v>
      </c>
      <c r="F19" s="132">
        <v>46270.0</v>
      </c>
      <c r="G19" s="104" t="s">
        <v>14</v>
      </c>
      <c r="H19" s="104"/>
      <c r="I19" s="108"/>
      <c r="J19" s="30"/>
      <c r="K19" s="30"/>
      <c r="L19" s="30"/>
      <c r="M19" s="30"/>
      <c r="N19" s="30"/>
      <c r="O19" s="30"/>
      <c r="P19" s="30"/>
      <c r="Q19" s="30"/>
      <c r="R19" s="30"/>
      <c r="S19" s="30"/>
      <c r="T19" s="30"/>
      <c r="U19" s="30"/>
      <c r="V19" s="30"/>
      <c r="W19" s="30"/>
      <c r="X19" s="30"/>
      <c r="Y19" s="30"/>
      <c r="Z19" s="30"/>
    </row>
    <row r="20" ht="101.25" customHeight="1">
      <c r="A20" s="134" t="s">
        <v>90</v>
      </c>
      <c r="B20" s="135" t="s">
        <v>91</v>
      </c>
      <c r="C20" s="104" t="s">
        <v>92</v>
      </c>
      <c r="D20" s="135" t="s">
        <v>93</v>
      </c>
      <c r="E20" s="104" t="s">
        <v>94</v>
      </c>
      <c r="F20" s="132">
        <v>46270.0</v>
      </c>
      <c r="G20" s="104" t="s">
        <v>14</v>
      </c>
      <c r="H20" s="104"/>
      <c r="I20" s="108"/>
      <c r="J20" s="30"/>
      <c r="K20" s="30"/>
      <c r="L20" s="30"/>
      <c r="M20" s="30"/>
      <c r="N20" s="30"/>
      <c r="O20" s="30"/>
      <c r="P20" s="30"/>
      <c r="Q20" s="30"/>
      <c r="R20" s="30"/>
      <c r="S20" s="30"/>
      <c r="T20" s="30"/>
      <c r="U20" s="30"/>
      <c r="V20" s="30"/>
      <c r="W20" s="30"/>
      <c r="X20" s="30"/>
      <c r="Y20" s="30"/>
      <c r="Z20" s="30"/>
    </row>
    <row r="21" ht="146.25" customHeight="1">
      <c r="A21" s="134" t="s">
        <v>95</v>
      </c>
      <c r="B21" s="102" t="s">
        <v>97</v>
      </c>
      <c r="C21" s="104" t="s">
        <v>98</v>
      </c>
      <c r="D21" s="102" t="s">
        <v>144</v>
      </c>
      <c r="E21" s="104" t="s">
        <v>100</v>
      </c>
      <c r="F21" s="174">
        <v>46270.0</v>
      </c>
      <c r="G21" s="140" t="s">
        <v>14</v>
      </c>
      <c r="H21" s="108"/>
      <c r="I21" s="108"/>
      <c r="J21" s="30"/>
      <c r="K21" s="30"/>
      <c r="L21" s="30"/>
      <c r="M21" s="30"/>
      <c r="N21" s="30"/>
      <c r="O21" s="30"/>
      <c r="P21" s="30"/>
      <c r="Q21" s="30"/>
      <c r="R21" s="30"/>
      <c r="S21" s="30"/>
      <c r="T21" s="30"/>
      <c r="U21" s="30"/>
      <c r="V21" s="30"/>
      <c r="W21" s="30"/>
      <c r="X21" s="30"/>
      <c r="Y21" s="30"/>
      <c r="Z21" s="30"/>
    </row>
    <row r="22" ht="94.5" customHeight="1">
      <c r="A22" s="127" t="s">
        <v>101</v>
      </c>
      <c r="B22" s="128" t="s">
        <v>102</v>
      </c>
      <c r="C22" s="129" t="s">
        <v>103</v>
      </c>
      <c r="D22" s="128" t="s">
        <v>156</v>
      </c>
      <c r="E22" s="129" t="s">
        <v>105</v>
      </c>
      <c r="F22" s="183">
        <v>46270.0</v>
      </c>
      <c r="G22" s="142" t="s">
        <v>14</v>
      </c>
      <c r="H22" s="129" t="s">
        <v>165</v>
      </c>
      <c r="I22" s="187"/>
      <c r="J22" s="30"/>
      <c r="K22" s="30"/>
      <c r="L22" s="30"/>
      <c r="M22" s="30"/>
      <c r="N22" s="30"/>
      <c r="O22" s="30"/>
      <c r="P22" s="30"/>
      <c r="Q22" s="30"/>
      <c r="R22" s="30"/>
      <c r="S22" s="30"/>
      <c r="T22" s="30"/>
      <c r="U22" s="30"/>
      <c r="V22" s="30"/>
      <c r="W22" s="30"/>
      <c r="X22" s="30"/>
      <c r="Y22" s="30"/>
      <c r="Z22" s="30"/>
    </row>
    <row r="23" ht="150.75" customHeight="1">
      <c r="A23" s="134" t="s">
        <v>109</v>
      </c>
      <c r="B23" s="102" t="s">
        <v>110</v>
      </c>
      <c r="C23" s="104" t="s">
        <v>111</v>
      </c>
      <c r="D23" s="102" t="s">
        <v>177</v>
      </c>
      <c r="E23" s="104" t="s">
        <v>113</v>
      </c>
      <c r="F23" s="193">
        <v>46270.0</v>
      </c>
      <c r="G23" s="146" t="s">
        <v>14</v>
      </c>
      <c r="H23" s="108"/>
      <c r="I23" s="63"/>
      <c r="J23" s="30"/>
      <c r="K23" s="30"/>
      <c r="L23" s="30"/>
      <c r="M23" s="30"/>
      <c r="N23" s="30"/>
      <c r="O23" s="30"/>
      <c r="P23" s="30"/>
      <c r="Q23" s="30"/>
      <c r="R23" s="30"/>
      <c r="S23" s="30"/>
      <c r="T23" s="30"/>
      <c r="U23" s="30"/>
      <c r="V23" s="30"/>
      <c r="W23" s="30"/>
      <c r="X23" s="30"/>
      <c r="Y23" s="30"/>
      <c r="Z23" s="30"/>
    </row>
    <row r="24" ht="150.75" customHeight="1">
      <c r="A24" s="134" t="s">
        <v>114</v>
      </c>
      <c r="B24" s="102" t="s">
        <v>115</v>
      </c>
      <c r="C24" s="104" t="s">
        <v>116</v>
      </c>
      <c r="D24" s="102" t="s">
        <v>183</v>
      </c>
      <c r="E24" s="104" t="s">
        <v>118</v>
      </c>
      <c r="F24" s="193">
        <v>46270.0</v>
      </c>
      <c r="G24" s="146" t="s">
        <v>14</v>
      </c>
      <c r="H24" s="108"/>
      <c r="I24" s="63"/>
      <c r="J24" s="30"/>
      <c r="K24" s="30"/>
      <c r="L24" s="30"/>
      <c r="M24" s="30"/>
      <c r="N24" s="30"/>
      <c r="O24" s="30"/>
      <c r="P24" s="30"/>
      <c r="Q24" s="30"/>
      <c r="R24" s="30"/>
      <c r="S24" s="30"/>
      <c r="T24" s="30"/>
      <c r="U24" s="30"/>
      <c r="V24" s="30"/>
      <c r="W24" s="30"/>
      <c r="X24" s="30"/>
      <c r="Y24" s="30"/>
      <c r="Z24" s="30"/>
    </row>
    <row r="25" ht="150.75" customHeight="1">
      <c r="A25" s="134" t="s">
        <v>123</v>
      </c>
      <c r="B25" s="102" t="s">
        <v>124</v>
      </c>
      <c r="C25" s="104" t="s">
        <v>125</v>
      </c>
      <c r="D25" s="102" t="s">
        <v>126</v>
      </c>
      <c r="E25" s="104" t="s">
        <v>127</v>
      </c>
      <c r="F25" s="193">
        <v>46270.0</v>
      </c>
      <c r="G25" s="146" t="s">
        <v>14</v>
      </c>
      <c r="H25" s="108"/>
      <c r="I25" s="63"/>
      <c r="J25" s="30"/>
      <c r="K25" s="30"/>
      <c r="L25" s="30"/>
      <c r="M25" s="30"/>
      <c r="N25" s="30"/>
      <c r="O25" s="30"/>
      <c r="P25" s="30"/>
      <c r="Q25" s="30"/>
      <c r="R25" s="30"/>
      <c r="S25" s="30"/>
      <c r="T25" s="30"/>
      <c r="U25" s="30"/>
      <c r="V25" s="30"/>
      <c r="W25" s="30"/>
      <c r="X25" s="30"/>
      <c r="Y25" s="30"/>
      <c r="Z25" s="30"/>
    </row>
    <row r="26" ht="150.75" customHeight="1">
      <c r="A26" s="134" t="s">
        <v>128</v>
      </c>
      <c r="B26" s="102" t="s">
        <v>129</v>
      </c>
      <c r="C26" s="104" t="s">
        <v>130</v>
      </c>
      <c r="D26" s="102" t="s">
        <v>131</v>
      </c>
      <c r="E26" s="104" t="s">
        <v>132</v>
      </c>
      <c r="F26" s="193">
        <v>46270.0</v>
      </c>
      <c r="G26" s="146" t="s">
        <v>14</v>
      </c>
      <c r="H26" s="108"/>
      <c r="I26" s="63"/>
      <c r="J26" s="30"/>
      <c r="K26" s="30"/>
      <c r="L26" s="30"/>
      <c r="M26" s="30"/>
      <c r="N26" s="30"/>
      <c r="O26" s="30"/>
      <c r="P26" s="30"/>
      <c r="Q26" s="30"/>
      <c r="R26" s="30"/>
      <c r="S26" s="30"/>
      <c r="T26" s="30"/>
      <c r="U26" s="30"/>
      <c r="V26" s="30"/>
      <c r="W26" s="30"/>
      <c r="X26" s="30"/>
      <c r="Y26" s="30"/>
      <c r="Z26" s="30"/>
    </row>
    <row r="27" ht="105.75" customHeight="1">
      <c r="A27" s="127" t="s">
        <v>133</v>
      </c>
      <c r="B27" s="128" t="s">
        <v>134</v>
      </c>
      <c r="C27" s="129" t="s">
        <v>135</v>
      </c>
      <c r="D27" s="128" t="s">
        <v>136</v>
      </c>
      <c r="E27" s="129" t="s">
        <v>137</v>
      </c>
      <c r="F27" s="183">
        <v>46270.0</v>
      </c>
      <c r="G27" s="163" t="s">
        <v>14</v>
      </c>
      <c r="H27" s="129" t="s">
        <v>138</v>
      </c>
      <c r="I27" s="187"/>
      <c r="J27" s="30"/>
      <c r="K27" s="30"/>
      <c r="L27" s="30"/>
      <c r="M27" s="30"/>
      <c r="N27" s="30"/>
      <c r="O27" s="30"/>
      <c r="P27" s="30"/>
      <c r="Q27" s="30"/>
      <c r="R27" s="30"/>
      <c r="S27" s="30"/>
      <c r="T27" s="30"/>
      <c r="U27" s="30"/>
      <c r="V27" s="30"/>
      <c r="W27" s="30"/>
      <c r="X27" s="30"/>
      <c r="Y27" s="30"/>
      <c r="Z27" s="30"/>
    </row>
    <row r="28">
      <c r="A28" s="170" t="s">
        <v>142</v>
      </c>
      <c r="B28" s="172"/>
      <c r="C28" s="172"/>
      <c r="D28" s="172"/>
      <c r="E28" s="172"/>
      <c r="F28" s="212"/>
      <c r="G28" s="172"/>
      <c r="H28" s="172"/>
      <c r="I28" s="172"/>
      <c r="J28" s="30"/>
      <c r="K28" s="30"/>
      <c r="L28" s="30"/>
      <c r="M28" s="30"/>
      <c r="N28" s="30"/>
      <c r="O28" s="30"/>
      <c r="P28" s="30"/>
      <c r="Q28" s="30"/>
      <c r="R28" s="30"/>
      <c r="S28" s="30"/>
      <c r="T28" s="30"/>
      <c r="U28" s="30"/>
      <c r="V28" s="30"/>
      <c r="W28" s="30"/>
      <c r="X28" s="30"/>
      <c r="Y28" s="30"/>
      <c r="Z28" s="30"/>
    </row>
    <row r="29" ht="154.5" customHeight="1">
      <c r="A29" s="175" t="s">
        <v>145</v>
      </c>
      <c r="B29" s="175" t="s">
        <v>146</v>
      </c>
      <c r="C29" s="177" t="s">
        <v>147</v>
      </c>
      <c r="D29" s="178" t="s">
        <v>148</v>
      </c>
      <c r="E29" s="146" t="s">
        <v>149</v>
      </c>
      <c r="F29" s="193">
        <v>46270.0</v>
      </c>
      <c r="G29" s="146" t="s">
        <v>14</v>
      </c>
      <c r="H29" s="63"/>
      <c r="I29" s="63"/>
      <c r="J29" s="30"/>
      <c r="K29" s="30"/>
      <c r="L29" s="30"/>
      <c r="M29" s="30"/>
      <c r="N29" s="30"/>
      <c r="O29" s="30"/>
      <c r="P29" s="30"/>
      <c r="Q29" s="30"/>
      <c r="R29" s="30"/>
      <c r="S29" s="30"/>
      <c r="T29" s="30"/>
      <c r="U29" s="30"/>
      <c r="V29" s="30"/>
      <c r="W29" s="30"/>
      <c r="X29" s="30"/>
      <c r="Y29" s="30"/>
      <c r="Z29" s="30"/>
    </row>
    <row r="30" ht="164.25" customHeight="1">
      <c r="A30" s="175" t="s">
        <v>151</v>
      </c>
      <c r="B30" s="175" t="s">
        <v>152</v>
      </c>
      <c r="C30" s="177" t="s">
        <v>153</v>
      </c>
      <c r="D30" s="175" t="s">
        <v>148</v>
      </c>
      <c r="E30" s="146" t="s">
        <v>155</v>
      </c>
      <c r="F30" s="193">
        <v>46270.0</v>
      </c>
      <c r="G30" s="146" t="s">
        <v>14</v>
      </c>
      <c r="H30" s="63"/>
      <c r="I30" s="63"/>
      <c r="J30" s="30"/>
      <c r="K30" s="30"/>
      <c r="L30" s="30"/>
      <c r="M30" s="30"/>
      <c r="N30" s="30"/>
      <c r="O30" s="30"/>
      <c r="P30" s="30"/>
      <c r="Q30" s="30"/>
      <c r="R30" s="30"/>
      <c r="S30" s="30"/>
      <c r="T30" s="30"/>
      <c r="U30" s="30"/>
      <c r="V30" s="30"/>
      <c r="W30" s="30"/>
      <c r="X30" s="30"/>
      <c r="Y30" s="30"/>
      <c r="Z30" s="30"/>
    </row>
    <row r="31">
      <c r="A31" s="175" t="s">
        <v>157</v>
      </c>
      <c r="B31" s="175" t="s">
        <v>158</v>
      </c>
      <c r="C31" s="177" t="s">
        <v>153</v>
      </c>
      <c r="D31" s="178" t="s">
        <v>148</v>
      </c>
      <c r="E31" s="146" t="s">
        <v>159</v>
      </c>
      <c r="F31" s="193">
        <v>46270.0</v>
      </c>
      <c r="G31" s="146" t="s">
        <v>14</v>
      </c>
      <c r="H31" s="63"/>
      <c r="I31" s="63"/>
      <c r="J31" s="30"/>
      <c r="K31" s="30"/>
      <c r="L31" s="30"/>
      <c r="M31" s="30"/>
      <c r="N31" s="30"/>
      <c r="O31" s="30"/>
      <c r="P31" s="30"/>
      <c r="Q31" s="30"/>
      <c r="R31" s="30"/>
      <c r="S31" s="30"/>
      <c r="T31" s="30"/>
      <c r="U31" s="30"/>
      <c r="V31" s="30"/>
      <c r="W31" s="30"/>
      <c r="X31" s="30"/>
      <c r="Y31" s="30"/>
      <c r="Z31" s="30"/>
    </row>
    <row r="32">
      <c r="A32" s="175" t="s">
        <v>160</v>
      </c>
      <c r="B32" s="175" t="s">
        <v>161</v>
      </c>
      <c r="C32" s="177" t="s">
        <v>153</v>
      </c>
      <c r="D32" s="178" t="s">
        <v>148</v>
      </c>
      <c r="E32" s="146" t="s">
        <v>162</v>
      </c>
      <c r="F32" s="193">
        <v>46270.0</v>
      </c>
      <c r="G32" s="146" t="s">
        <v>14</v>
      </c>
      <c r="H32" s="63"/>
      <c r="I32" s="63"/>
      <c r="J32" s="30"/>
      <c r="K32" s="30"/>
      <c r="L32" s="30"/>
      <c r="M32" s="30"/>
      <c r="N32" s="30"/>
      <c r="O32" s="30"/>
      <c r="P32" s="30"/>
      <c r="Q32" s="30"/>
      <c r="R32" s="30"/>
      <c r="S32" s="30"/>
      <c r="T32" s="30"/>
      <c r="U32" s="30"/>
      <c r="V32" s="30"/>
      <c r="W32" s="30"/>
      <c r="X32" s="30"/>
      <c r="Y32" s="30"/>
      <c r="Z32" s="30"/>
    </row>
    <row r="33" ht="192.0" customHeight="1">
      <c r="A33" s="175" t="s">
        <v>163</v>
      </c>
      <c r="B33" s="175" t="s">
        <v>164</v>
      </c>
      <c r="C33" s="177" t="s">
        <v>147</v>
      </c>
      <c r="D33" s="175" t="s">
        <v>148</v>
      </c>
      <c r="E33" s="146" t="s">
        <v>166</v>
      </c>
      <c r="F33" s="193">
        <v>46270.0</v>
      </c>
      <c r="G33" s="146" t="s">
        <v>14</v>
      </c>
      <c r="H33" s="63"/>
      <c r="I33" s="63"/>
      <c r="J33" s="30"/>
      <c r="K33" s="30"/>
      <c r="L33" s="30"/>
      <c r="M33" s="30"/>
      <c r="N33" s="30"/>
      <c r="O33" s="30"/>
      <c r="P33" s="30"/>
      <c r="Q33" s="30"/>
      <c r="R33" s="30"/>
      <c r="S33" s="30"/>
      <c r="T33" s="30"/>
      <c r="U33" s="30"/>
      <c r="V33" s="30"/>
      <c r="W33" s="30"/>
      <c r="X33" s="30"/>
      <c r="Y33" s="30"/>
      <c r="Z33" s="30"/>
    </row>
    <row r="34" ht="192.0" customHeight="1">
      <c r="A34" s="175" t="s">
        <v>168</v>
      </c>
      <c r="B34" s="175" t="s">
        <v>169</v>
      </c>
      <c r="C34" s="177" t="s">
        <v>170</v>
      </c>
      <c r="D34" s="175" t="s">
        <v>148</v>
      </c>
      <c r="E34" s="146" t="s">
        <v>171</v>
      </c>
      <c r="F34" s="193">
        <v>46270.0</v>
      </c>
      <c r="G34" s="146" t="s">
        <v>14</v>
      </c>
      <c r="H34" s="63"/>
      <c r="I34" s="63"/>
      <c r="J34" s="30"/>
      <c r="K34" s="30"/>
      <c r="L34" s="30"/>
      <c r="M34" s="30"/>
      <c r="N34" s="30"/>
      <c r="O34" s="30"/>
      <c r="P34" s="30"/>
      <c r="Q34" s="30"/>
      <c r="R34" s="30"/>
      <c r="S34" s="30"/>
      <c r="T34" s="30"/>
      <c r="U34" s="30"/>
      <c r="V34" s="30"/>
      <c r="W34" s="30"/>
      <c r="X34" s="30"/>
      <c r="Y34" s="30"/>
      <c r="Z34" s="30"/>
    </row>
    <row r="35">
      <c r="A35" s="170" t="s">
        <v>172</v>
      </c>
      <c r="B35" s="172"/>
      <c r="C35" s="172"/>
      <c r="D35" s="172"/>
      <c r="E35" s="172"/>
      <c r="F35" s="212"/>
      <c r="G35" s="172"/>
      <c r="H35" s="172"/>
      <c r="I35" s="172"/>
      <c r="J35" s="30"/>
      <c r="K35" s="30"/>
      <c r="L35" s="30"/>
      <c r="M35" s="30"/>
      <c r="N35" s="30"/>
      <c r="O35" s="30"/>
      <c r="P35" s="30"/>
      <c r="Q35" s="30"/>
      <c r="R35" s="30"/>
      <c r="S35" s="30"/>
      <c r="T35" s="30"/>
      <c r="U35" s="30"/>
      <c r="V35" s="30"/>
      <c r="W35" s="30"/>
      <c r="X35" s="30"/>
      <c r="Y35" s="30"/>
      <c r="Z35" s="30"/>
    </row>
    <row r="36">
      <c r="A36" s="136" t="s">
        <v>173</v>
      </c>
      <c r="B36" s="136" t="s">
        <v>174</v>
      </c>
      <c r="C36" s="136" t="s">
        <v>175</v>
      </c>
      <c r="D36" s="63" t="s">
        <v>148</v>
      </c>
      <c r="E36" s="136" t="s">
        <v>176</v>
      </c>
      <c r="F36" s="193">
        <v>46270.0</v>
      </c>
      <c r="G36" s="192" t="s">
        <v>14</v>
      </c>
      <c r="H36" s="63"/>
      <c r="I36" s="63"/>
      <c r="J36" s="30"/>
      <c r="K36" s="30"/>
      <c r="L36" s="30"/>
      <c r="M36" s="30"/>
      <c r="N36" s="30"/>
      <c r="O36" s="30"/>
      <c r="P36" s="30"/>
      <c r="Q36" s="30"/>
      <c r="R36" s="30"/>
      <c r="S36" s="30"/>
      <c r="T36" s="30"/>
      <c r="U36" s="30"/>
      <c r="V36" s="30"/>
      <c r="W36" s="30"/>
      <c r="X36" s="30"/>
      <c r="Y36" s="30"/>
      <c r="Z36" s="30"/>
    </row>
    <row r="37" ht="15.0" customHeight="1">
      <c r="A37" s="194" t="s">
        <v>178</v>
      </c>
      <c r="B37" s="195"/>
      <c r="C37" s="195"/>
      <c r="D37" s="195"/>
      <c r="E37" s="195"/>
      <c r="F37" s="231"/>
      <c r="G37" s="199"/>
      <c r="H37" s="172"/>
      <c r="I37" s="172"/>
      <c r="J37" s="30"/>
      <c r="K37" s="30"/>
      <c r="L37" s="30"/>
      <c r="M37" s="30"/>
      <c r="N37" s="30"/>
      <c r="O37" s="30"/>
      <c r="P37" s="30"/>
      <c r="Q37" s="30"/>
      <c r="R37" s="30"/>
      <c r="S37" s="30"/>
      <c r="T37" s="30"/>
      <c r="U37" s="30"/>
      <c r="V37" s="30"/>
      <c r="W37" s="30"/>
      <c r="X37" s="30"/>
      <c r="Y37" s="30"/>
      <c r="Z37" s="30"/>
    </row>
    <row r="38" ht="206.25" customHeight="1">
      <c r="A38" s="146" t="s">
        <v>179</v>
      </c>
      <c r="B38" s="136" t="s">
        <v>180</v>
      </c>
      <c r="C38" s="136" t="s">
        <v>181</v>
      </c>
      <c r="D38" s="136" t="s">
        <v>182</v>
      </c>
      <c r="E38" s="136" t="s">
        <v>184</v>
      </c>
      <c r="F38" s="193">
        <v>46270.0</v>
      </c>
      <c r="G38" s="192" t="s">
        <v>14</v>
      </c>
      <c r="H38" s="63"/>
      <c r="I38" s="63"/>
      <c r="J38" s="30"/>
      <c r="K38" s="30"/>
      <c r="L38" s="30"/>
      <c r="M38" s="30"/>
      <c r="N38" s="30"/>
      <c r="O38" s="30"/>
      <c r="P38" s="30"/>
      <c r="Q38" s="30"/>
      <c r="R38" s="30"/>
      <c r="S38" s="30"/>
      <c r="T38" s="30"/>
      <c r="U38" s="30"/>
      <c r="V38" s="30"/>
      <c r="W38" s="30"/>
      <c r="X38" s="30"/>
      <c r="Y38" s="30"/>
      <c r="Z38" s="30"/>
    </row>
    <row r="39">
      <c r="A39" s="155" t="s">
        <v>186</v>
      </c>
      <c r="B39" s="203" t="s">
        <v>187</v>
      </c>
      <c r="C39" s="203" t="s">
        <v>189</v>
      </c>
      <c r="D39" s="203" t="s">
        <v>190</v>
      </c>
      <c r="E39" s="203" t="s">
        <v>184</v>
      </c>
      <c r="F39" s="240">
        <v>46270.0</v>
      </c>
      <c r="G39" s="155" t="s">
        <v>30</v>
      </c>
      <c r="H39" s="203" t="s">
        <v>191</v>
      </c>
      <c r="I39" s="242"/>
      <c r="J39" s="30"/>
      <c r="K39" s="30"/>
      <c r="L39" s="30"/>
      <c r="M39" s="30"/>
      <c r="N39" s="30"/>
      <c r="O39" s="30"/>
      <c r="P39" s="30"/>
      <c r="Q39" s="30"/>
      <c r="R39" s="30"/>
      <c r="S39" s="30"/>
      <c r="T39" s="30"/>
      <c r="U39" s="30"/>
      <c r="V39" s="30"/>
      <c r="W39" s="30"/>
      <c r="X39" s="30"/>
      <c r="Y39" s="30"/>
      <c r="Z39" s="30"/>
    </row>
    <row r="40" ht="252.75" customHeight="1">
      <c r="A40" s="146" t="s">
        <v>194</v>
      </c>
      <c r="B40" s="136" t="s">
        <v>195</v>
      </c>
      <c r="C40" s="136" t="s">
        <v>196</v>
      </c>
      <c r="D40" s="136" t="s">
        <v>197</v>
      </c>
      <c r="E40" s="136" t="s">
        <v>184</v>
      </c>
      <c r="F40" s="193">
        <v>46270.0</v>
      </c>
      <c r="G40" s="146" t="s">
        <v>14</v>
      </c>
      <c r="H40" s="136"/>
      <c r="I40" s="63"/>
      <c r="J40" s="30"/>
      <c r="K40" s="30"/>
      <c r="L40" s="30"/>
      <c r="M40" s="30"/>
      <c r="N40" s="30"/>
      <c r="O40" s="30"/>
      <c r="P40" s="30"/>
      <c r="Q40" s="30"/>
      <c r="R40" s="30"/>
      <c r="S40" s="30"/>
      <c r="T40" s="30"/>
      <c r="U40" s="30"/>
      <c r="V40" s="30"/>
      <c r="W40" s="30"/>
      <c r="X40" s="30"/>
      <c r="Y40" s="30"/>
      <c r="Z40" s="30"/>
    </row>
    <row r="41" ht="202.5" customHeight="1">
      <c r="A41" s="146" t="s">
        <v>198</v>
      </c>
      <c r="B41" s="136" t="s">
        <v>199</v>
      </c>
      <c r="C41" s="136" t="s">
        <v>200</v>
      </c>
      <c r="D41" s="136" t="s">
        <v>201</v>
      </c>
      <c r="E41" s="136" t="s">
        <v>184</v>
      </c>
      <c r="F41" s="193">
        <v>46270.0</v>
      </c>
      <c r="G41" s="146" t="s">
        <v>14</v>
      </c>
      <c r="H41" s="136"/>
      <c r="I41" s="63"/>
      <c r="J41" s="30"/>
      <c r="K41" s="30"/>
      <c r="L41" s="30"/>
      <c r="M41" s="30"/>
      <c r="N41" s="30"/>
      <c r="O41" s="30"/>
      <c r="P41" s="30"/>
      <c r="Q41" s="30"/>
      <c r="R41" s="30"/>
      <c r="S41" s="30"/>
      <c r="T41" s="30"/>
      <c r="U41" s="30"/>
      <c r="V41" s="30"/>
      <c r="W41" s="30"/>
      <c r="X41" s="30"/>
      <c r="Y41" s="30"/>
      <c r="Z41" s="30"/>
    </row>
    <row r="42" ht="202.5" customHeight="1">
      <c r="A42" s="146" t="s">
        <v>202</v>
      </c>
      <c r="B42" s="136" t="s">
        <v>203</v>
      </c>
      <c r="C42" s="136" t="s">
        <v>204</v>
      </c>
      <c r="D42" s="136" t="s">
        <v>205</v>
      </c>
      <c r="E42" s="136" t="s">
        <v>184</v>
      </c>
      <c r="F42" s="193">
        <v>46270.0</v>
      </c>
      <c r="G42" s="146" t="s">
        <v>14</v>
      </c>
      <c r="H42" s="136"/>
      <c r="I42" s="63"/>
      <c r="J42" s="30"/>
      <c r="K42" s="30"/>
      <c r="L42" s="30"/>
      <c r="M42" s="30"/>
      <c r="N42" s="30"/>
      <c r="O42" s="30"/>
      <c r="P42" s="30"/>
      <c r="Q42" s="30"/>
      <c r="R42" s="30"/>
      <c r="S42" s="30"/>
      <c r="T42" s="30"/>
      <c r="U42" s="30"/>
      <c r="V42" s="30"/>
      <c r="W42" s="30"/>
      <c r="X42" s="30"/>
      <c r="Y42" s="30"/>
      <c r="Z42" s="30"/>
    </row>
    <row r="43" ht="96.0" customHeight="1">
      <c r="A43" s="163" t="s">
        <v>206</v>
      </c>
      <c r="B43" s="138" t="s">
        <v>207</v>
      </c>
      <c r="C43" s="138" t="s">
        <v>208</v>
      </c>
      <c r="D43" s="138" t="s">
        <v>148</v>
      </c>
      <c r="E43" s="138" t="s">
        <v>209</v>
      </c>
      <c r="F43" s="183">
        <v>46270.0</v>
      </c>
      <c r="G43" s="163" t="s">
        <v>14</v>
      </c>
      <c r="H43" s="138" t="s">
        <v>210</v>
      </c>
      <c r="I43" s="187"/>
      <c r="J43" s="30"/>
      <c r="K43" s="30"/>
      <c r="L43" s="30"/>
      <c r="M43" s="30"/>
      <c r="N43" s="30"/>
      <c r="O43" s="30"/>
      <c r="P43" s="30"/>
      <c r="Q43" s="30"/>
      <c r="R43" s="30"/>
      <c r="S43" s="30"/>
      <c r="T43" s="30"/>
      <c r="U43" s="30"/>
      <c r="V43" s="30"/>
      <c r="W43" s="30"/>
      <c r="X43" s="30"/>
      <c r="Y43" s="30"/>
      <c r="Z43" s="30"/>
    </row>
    <row r="44" ht="132.0" customHeight="1">
      <c r="A44" s="146" t="s">
        <v>214</v>
      </c>
      <c r="B44" s="136" t="s">
        <v>215</v>
      </c>
      <c r="C44" s="136" t="s">
        <v>216</v>
      </c>
      <c r="D44" s="136" t="s">
        <v>217</v>
      </c>
      <c r="E44" s="136" t="s">
        <v>218</v>
      </c>
      <c r="F44" s="193">
        <v>46270.0</v>
      </c>
      <c r="G44" s="146" t="s">
        <v>14</v>
      </c>
      <c r="H44" s="136"/>
      <c r="I44" s="63"/>
      <c r="J44" s="30"/>
      <c r="K44" s="30"/>
      <c r="L44" s="30"/>
      <c r="M44" s="30"/>
      <c r="N44" s="30"/>
      <c r="O44" s="30"/>
      <c r="P44" s="30"/>
      <c r="Q44" s="30"/>
      <c r="R44" s="30"/>
      <c r="S44" s="30"/>
      <c r="T44" s="30"/>
      <c r="U44" s="30"/>
      <c r="V44" s="30"/>
      <c r="W44" s="30"/>
      <c r="X44" s="30"/>
      <c r="Y44" s="30"/>
      <c r="Z44" s="30"/>
    </row>
    <row r="45" ht="136.5" customHeight="1">
      <c r="A45" s="146" t="s">
        <v>219</v>
      </c>
      <c r="B45" s="136" t="s">
        <v>220</v>
      </c>
      <c r="C45" s="136" t="s">
        <v>221</v>
      </c>
      <c r="D45" s="136" t="s">
        <v>222</v>
      </c>
      <c r="E45" s="136" t="s">
        <v>223</v>
      </c>
      <c r="F45" s="193">
        <v>46270.0</v>
      </c>
      <c r="G45" s="146" t="s">
        <v>14</v>
      </c>
      <c r="H45" s="136"/>
      <c r="I45" s="63"/>
      <c r="J45" s="30"/>
      <c r="K45" s="30"/>
      <c r="L45" s="30"/>
      <c r="M45" s="30"/>
      <c r="N45" s="30"/>
      <c r="O45" s="30"/>
      <c r="P45" s="30"/>
      <c r="Q45" s="30"/>
      <c r="R45" s="30"/>
      <c r="S45" s="30"/>
      <c r="T45" s="30"/>
      <c r="U45" s="30"/>
      <c r="V45" s="30"/>
      <c r="W45" s="30"/>
      <c r="X45" s="30"/>
      <c r="Y45" s="30"/>
      <c r="Z45" s="30"/>
    </row>
    <row r="46" ht="134.25" customHeight="1">
      <c r="A46" s="146" t="s">
        <v>224</v>
      </c>
      <c r="B46" s="136" t="s">
        <v>225</v>
      </c>
      <c r="C46" s="136" t="s">
        <v>226</v>
      </c>
      <c r="D46" s="136" t="s">
        <v>227</v>
      </c>
      <c r="E46" s="136" t="s">
        <v>229</v>
      </c>
      <c r="F46" s="193">
        <v>46270.0</v>
      </c>
      <c r="G46" s="146" t="s">
        <v>14</v>
      </c>
      <c r="H46" s="136"/>
      <c r="I46" s="63"/>
      <c r="J46" s="30"/>
      <c r="K46" s="30"/>
      <c r="L46" s="30"/>
      <c r="M46" s="30"/>
      <c r="N46" s="30"/>
      <c r="O46" s="30"/>
      <c r="P46" s="30"/>
      <c r="Q46" s="30"/>
      <c r="R46" s="30"/>
      <c r="S46" s="30"/>
      <c r="T46" s="30"/>
      <c r="U46" s="30"/>
      <c r="V46" s="30"/>
      <c r="W46" s="30"/>
      <c r="X46" s="30"/>
      <c r="Y46" s="30"/>
      <c r="Z46" s="30"/>
    </row>
    <row r="47" ht="130.5" customHeight="1">
      <c r="A47" s="155" t="s">
        <v>232</v>
      </c>
      <c r="B47" s="203" t="s">
        <v>233</v>
      </c>
      <c r="C47" s="203" t="s">
        <v>234</v>
      </c>
      <c r="D47" s="203" t="s">
        <v>235</v>
      </c>
      <c r="E47" s="203" t="s">
        <v>236</v>
      </c>
      <c r="F47" s="240">
        <v>46270.0</v>
      </c>
      <c r="G47" s="155" t="s">
        <v>30</v>
      </c>
      <c r="H47" s="203" t="s">
        <v>452</v>
      </c>
      <c r="I47" s="242"/>
      <c r="J47" s="30"/>
      <c r="K47" s="30"/>
      <c r="L47" s="30"/>
      <c r="M47" s="30"/>
      <c r="N47" s="30"/>
      <c r="O47" s="30"/>
      <c r="P47" s="30"/>
      <c r="Q47" s="30"/>
      <c r="R47" s="30"/>
      <c r="S47" s="30"/>
      <c r="T47" s="30"/>
      <c r="U47" s="30"/>
      <c r="V47" s="30"/>
      <c r="W47" s="30"/>
      <c r="X47" s="30"/>
      <c r="Y47" s="30"/>
      <c r="Z47" s="30"/>
    </row>
    <row r="48" ht="129.75" customHeight="1">
      <c r="A48" s="155" t="s">
        <v>244</v>
      </c>
      <c r="B48" s="203" t="s">
        <v>245</v>
      </c>
      <c r="C48" s="203" t="s">
        <v>246</v>
      </c>
      <c r="D48" s="203" t="s">
        <v>247</v>
      </c>
      <c r="E48" s="203" t="s">
        <v>248</v>
      </c>
      <c r="F48" s="240">
        <v>46270.0</v>
      </c>
      <c r="G48" s="155" t="s">
        <v>30</v>
      </c>
      <c r="H48" s="203" t="s">
        <v>464</v>
      </c>
      <c r="I48" s="242"/>
      <c r="J48" s="30"/>
      <c r="K48" s="30"/>
      <c r="L48" s="30"/>
      <c r="M48" s="30"/>
      <c r="N48" s="30"/>
      <c r="O48" s="30"/>
      <c r="P48" s="30"/>
      <c r="Q48" s="30"/>
      <c r="R48" s="30"/>
      <c r="S48" s="30"/>
      <c r="T48" s="30"/>
      <c r="U48" s="30"/>
      <c r="V48" s="30"/>
      <c r="W48" s="30"/>
      <c r="X48" s="30"/>
      <c r="Y48" s="30"/>
      <c r="Z48" s="30"/>
    </row>
    <row r="49" ht="29.25" customHeight="1">
      <c r="A49" s="170" t="s">
        <v>255</v>
      </c>
      <c r="B49" s="194"/>
      <c r="C49" s="194"/>
      <c r="D49" s="194"/>
      <c r="E49" s="194"/>
      <c r="F49" s="261"/>
      <c r="G49" s="170"/>
      <c r="H49" s="194"/>
      <c r="I49" s="229"/>
      <c r="J49" s="30"/>
      <c r="K49" s="30"/>
      <c r="L49" s="30"/>
      <c r="M49" s="30"/>
      <c r="N49" s="30"/>
      <c r="O49" s="30"/>
      <c r="P49" s="30"/>
      <c r="Q49" s="30"/>
      <c r="R49" s="30"/>
      <c r="S49" s="30"/>
      <c r="T49" s="30"/>
      <c r="U49" s="30"/>
      <c r="V49" s="30"/>
      <c r="W49" s="30"/>
      <c r="X49" s="30"/>
      <c r="Y49" s="30"/>
      <c r="Z49" s="30"/>
    </row>
    <row r="50" ht="159.75" customHeight="1">
      <c r="A50" s="146" t="s">
        <v>256</v>
      </c>
      <c r="B50" s="136" t="s">
        <v>257</v>
      </c>
      <c r="C50" s="136" t="s">
        <v>258</v>
      </c>
      <c r="D50" s="136" t="s">
        <v>259</v>
      </c>
      <c r="E50" s="136" t="s">
        <v>261</v>
      </c>
      <c r="F50" s="193">
        <v>46270.0</v>
      </c>
      <c r="G50" s="146" t="s">
        <v>14</v>
      </c>
      <c r="H50" s="136"/>
      <c r="I50" s="63"/>
      <c r="J50" s="30"/>
      <c r="K50" s="30"/>
      <c r="L50" s="30"/>
      <c r="M50" s="30"/>
      <c r="N50" s="30"/>
      <c r="O50" s="30"/>
      <c r="P50" s="30"/>
      <c r="Q50" s="30"/>
      <c r="R50" s="30"/>
      <c r="S50" s="30"/>
      <c r="T50" s="30"/>
      <c r="U50" s="30"/>
      <c r="V50" s="30"/>
      <c r="W50" s="30"/>
      <c r="X50" s="30"/>
      <c r="Y50" s="30"/>
      <c r="Z50" s="30"/>
    </row>
    <row r="51" ht="158.25" customHeight="1">
      <c r="A51" s="146" t="s">
        <v>262</v>
      </c>
      <c r="B51" s="136" t="s">
        <v>263</v>
      </c>
      <c r="C51" s="136" t="s">
        <v>510</v>
      </c>
      <c r="D51" s="136" t="s">
        <v>265</v>
      </c>
      <c r="E51" s="136" t="s">
        <v>266</v>
      </c>
      <c r="F51" s="193">
        <v>46270.0</v>
      </c>
      <c r="G51" s="146" t="s">
        <v>14</v>
      </c>
      <c r="H51" s="136"/>
      <c r="I51" s="63"/>
      <c r="J51" s="30"/>
      <c r="K51" s="30"/>
      <c r="L51" s="30"/>
      <c r="M51" s="30"/>
      <c r="N51" s="30"/>
      <c r="O51" s="30"/>
      <c r="P51" s="30"/>
      <c r="Q51" s="30"/>
      <c r="R51" s="30"/>
      <c r="S51" s="30"/>
      <c r="T51" s="30"/>
      <c r="U51" s="30"/>
      <c r="V51" s="30"/>
      <c r="W51" s="30"/>
      <c r="X51" s="30"/>
      <c r="Y51" s="30"/>
      <c r="Z51" s="30"/>
    </row>
    <row r="52" ht="172.5" customHeight="1">
      <c r="A52" s="146" t="s">
        <v>267</v>
      </c>
      <c r="B52" s="136" t="s">
        <v>268</v>
      </c>
      <c r="C52" s="136" t="s">
        <v>511</v>
      </c>
      <c r="D52" s="136" t="s">
        <v>270</v>
      </c>
      <c r="E52" s="136" t="s">
        <v>271</v>
      </c>
      <c r="F52" s="193">
        <v>46270.0</v>
      </c>
      <c r="G52" s="146" t="s">
        <v>14</v>
      </c>
      <c r="H52" s="136"/>
      <c r="I52" s="63"/>
      <c r="J52" s="30"/>
      <c r="K52" s="30"/>
      <c r="L52" s="30"/>
      <c r="M52" s="30"/>
      <c r="N52" s="30"/>
      <c r="O52" s="30"/>
      <c r="P52" s="30"/>
      <c r="Q52" s="30"/>
      <c r="R52" s="30"/>
      <c r="S52" s="30"/>
      <c r="T52" s="30"/>
      <c r="U52" s="30"/>
      <c r="V52" s="30"/>
      <c r="W52" s="30"/>
      <c r="X52" s="30"/>
      <c r="Y52" s="30"/>
      <c r="Z52" s="30"/>
    </row>
    <row r="53" ht="76.5" customHeight="1">
      <c r="A53" s="163" t="s">
        <v>272</v>
      </c>
      <c r="B53" s="138" t="s">
        <v>273</v>
      </c>
      <c r="C53" s="138" t="s">
        <v>512</v>
      </c>
      <c r="D53" s="138" t="s">
        <v>275</v>
      </c>
      <c r="E53" s="138" t="s">
        <v>276</v>
      </c>
      <c r="F53" s="183">
        <v>46270.0</v>
      </c>
      <c r="G53" s="163" t="s">
        <v>14</v>
      </c>
      <c r="H53" s="138" t="s">
        <v>277</v>
      </c>
      <c r="I53" s="187"/>
      <c r="J53" s="30"/>
      <c r="K53" s="30"/>
      <c r="L53" s="30"/>
      <c r="M53" s="30"/>
      <c r="N53" s="30"/>
      <c r="O53" s="30"/>
      <c r="P53" s="30"/>
      <c r="Q53" s="30"/>
      <c r="R53" s="30"/>
      <c r="S53" s="30"/>
      <c r="T53" s="30"/>
      <c r="U53" s="30"/>
      <c r="V53" s="30"/>
      <c r="W53" s="30"/>
      <c r="X53" s="30"/>
      <c r="Y53" s="30"/>
      <c r="Z53" s="30"/>
    </row>
    <row r="54" ht="92.25" customHeight="1">
      <c r="A54" s="163" t="s">
        <v>279</v>
      </c>
      <c r="B54" s="138" t="s">
        <v>280</v>
      </c>
      <c r="C54" s="138" t="s">
        <v>513</v>
      </c>
      <c r="D54" s="138" t="s">
        <v>284</v>
      </c>
      <c r="E54" s="138" t="s">
        <v>286</v>
      </c>
      <c r="F54" s="183">
        <v>46270.0</v>
      </c>
      <c r="G54" s="163" t="s">
        <v>14</v>
      </c>
      <c r="H54" s="138" t="s">
        <v>514</v>
      </c>
      <c r="I54" s="187"/>
      <c r="J54" s="30"/>
      <c r="K54" s="30"/>
      <c r="L54" s="30"/>
      <c r="M54" s="30"/>
      <c r="N54" s="30"/>
      <c r="O54" s="30"/>
      <c r="P54" s="30"/>
      <c r="Q54" s="30"/>
      <c r="R54" s="30"/>
      <c r="S54" s="30"/>
      <c r="T54" s="30"/>
      <c r="U54" s="30"/>
      <c r="V54" s="30"/>
      <c r="W54" s="30"/>
      <c r="X54" s="30"/>
      <c r="Y54" s="30"/>
      <c r="Z54" s="30"/>
    </row>
    <row r="55" ht="75.75" customHeight="1">
      <c r="A55" s="233" t="s">
        <v>287</v>
      </c>
      <c r="B55" s="136" t="s">
        <v>288</v>
      </c>
      <c r="C55" s="136" t="s">
        <v>516</v>
      </c>
      <c r="D55" s="136" t="s">
        <v>275</v>
      </c>
      <c r="E55" s="136" t="s">
        <v>290</v>
      </c>
      <c r="F55" s="272">
        <v>46270.0</v>
      </c>
      <c r="G55" s="136" t="s">
        <v>14</v>
      </c>
      <c r="H55" s="63"/>
      <c r="I55" s="63"/>
      <c r="J55" s="30"/>
      <c r="K55" s="30"/>
      <c r="L55" s="30"/>
      <c r="M55" s="30"/>
      <c r="N55" s="30"/>
      <c r="O55" s="30"/>
      <c r="P55" s="30"/>
      <c r="Q55" s="30"/>
      <c r="R55" s="30"/>
      <c r="S55" s="30"/>
      <c r="T55" s="30"/>
      <c r="U55" s="30"/>
      <c r="V55" s="30"/>
      <c r="W55" s="30"/>
      <c r="X55" s="30"/>
      <c r="Y55" s="30"/>
      <c r="Z55" s="30"/>
    </row>
    <row r="56" ht="82.5" customHeight="1">
      <c r="A56" s="233" t="s">
        <v>291</v>
      </c>
      <c r="B56" s="136" t="s">
        <v>293</v>
      </c>
      <c r="C56" s="136" t="s">
        <v>294</v>
      </c>
      <c r="D56" s="136" t="s">
        <v>275</v>
      </c>
      <c r="E56" s="136" t="s">
        <v>296</v>
      </c>
      <c r="F56" s="272">
        <v>46270.0</v>
      </c>
      <c r="G56" s="136" t="s">
        <v>14</v>
      </c>
      <c r="H56" s="63"/>
      <c r="I56" s="63"/>
      <c r="J56" s="30"/>
      <c r="K56" s="30"/>
      <c r="L56" s="30"/>
      <c r="M56" s="30"/>
      <c r="N56" s="30"/>
      <c r="O56" s="30"/>
      <c r="P56" s="30"/>
      <c r="Q56" s="30"/>
      <c r="R56" s="30"/>
      <c r="S56" s="30"/>
      <c r="T56" s="30"/>
      <c r="U56" s="30"/>
      <c r="V56" s="30"/>
      <c r="W56" s="30"/>
      <c r="X56" s="30"/>
      <c r="Y56" s="30"/>
      <c r="Z56" s="30"/>
    </row>
    <row r="57" ht="81.0" customHeight="1">
      <c r="A57" s="233" t="s">
        <v>298</v>
      </c>
      <c r="B57" s="136" t="s">
        <v>299</v>
      </c>
      <c r="C57" s="136" t="s">
        <v>519</v>
      </c>
      <c r="D57" s="136" t="s">
        <v>275</v>
      </c>
      <c r="E57" s="136" t="s">
        <v>301</v>
      </c>
      <c r="F57" s="272">
        <v>46270.0</v>
      </c>
      <c r="G57" s="136" t="s">
        <v>14</v>
      </c>
      <c r="H57" s="63"/>
      <c r="I57" s="63"/>
      <c r="J57" s="30"/>
      <c r="K57" s="30"/>
      <c r="L57" s="30"/>
      <c r="M57" s="30"/>
      <c r="N57" s="30"/>
      <c r="O57" s="30"/>
      <c r="P57" s="30"/>
      <c r="Q57" s="30"/>
      <c r="R57" s="30"/>
      <c r="S57" s="30"/>
      <c r="T57" s="30"/>
      <c r="U57" s="30"/>
      <c r="V57" s="30"/>
      <c r="W57" s="30"/>
      <c r="X57" s="30"/>
      <c r="Y57" s="30"/>
      <c r="Z57" s="30"/>
    </row>
    <row r="58" ht="64.5" customHeight="1">
      <c r="A58" s="233" t="s">
        <v>302</v>
      </c>
      <c r="B58" s="136" t="s">
        <v>278</v>
      </c>
      <c r="C58" s="136" t="s">
        <v>520</v>
      </c>
      <c r="D58" s="136" t="s">
        <v>307</v>
      </c>
      <c r="E58" s="136" t="s">
        <v>309</v>
      </c>
      <c r="F58" s="272">
        <v>46270.0</v>
      </c>
      <c r="G58" s="136" t="s">
        <v>14</v>
      </c>
      <c r="H58" s="63"/>
      <c r="I58" s="63"/>
      <c r="J58" s="30"/>
      <c r="K58" s="30"/>
      <c r="L58" s="30"/>
      <c r="M58" s="30"/>
      <c r="N58" s="30"/>
      <c r="O58" s="30"/>
      <c r="P58" s="30"/>
      <c r="Q58" s="30"/>
      <c r="R58" s="30"/>
      <c r="S58" s="30"/>
      <c r="T58" s="30"/>
      <c r="U58" s="30"/>
      <c r="V58" s="30"/>
      <c r="W58" s="30"/>
      <c r="X58" s="30"/>
      <c r="Y58" s="30"/>
      <c r="Z58" s="30"/>
    </row>
    <row r="59" ht="77.25" customHeight="1">
      <c r="A59" s="233" t="s">
        <v>310</v>
      </c>
      <c r="B59" s="136" t="s">
        <v>311</v>
      </c>
      <c r="C59" s="136" t="s">
        <v>520</v>
      </c>
      <c r="D59" s="136" t="s">
        <v>312</v>
      </c>
      <c r="E59" s="136" t="s">
        <v>313</v>
      </c>
      <c r="F59" s="272">
        <v>46270.0</v>
      </c>
      <c r="G59" s="136" t="s">
        <v>14</v>
      </c>
      <c r="H59" s="63"/>
      <c r="I59" s="63"/>
      <c r="J59" s="30"/>
      <c r="K59" s="30"/>
      <c r="L59" s="30"/>
      <c r="M59" s="30"/>
      <c r="N59" s="30"/>
      <c r="O59" s="30"/>
      <c r="P59" s="30"/>
      <c r="Q59" s="30"/>
      <c r="R59" s="30"/>
      <c r="S59" s="30"/>
      <c r="T59" s="30"/>
      <c r="U59" s="30"/>
      <c r="V59" s="30"/>
      <c r="W59" s="30"/>
      <c r="X59" s="30"/>
      <c r="Y59" s="30"/>
      <c r="Z59" s="30"/>
    </row>
    <row r="60" ht="69.0" customHeight="1">
      <c r="A60" s="233" t="s">
        <v>315</v>
      </c>
      <c r="B60" s="136" t="s">
        <v>317</v>
      </c>
      <c r="C60" s="136" t="s">
        <v>521</v>
      </c>
      <c r="D60" s="136" t="s">
        <v>306</v>
      </c>
      <c r="E60" s="136" t="s">
        <v>321</v>
      </c>
      <c r="F60" s="272">
        <v>46270.0</v>
      </c>
      <c r="G60" s="136" t="s">
        <v>14</v>
      </c>
      <c r="H60" s="63"/>
      <c r="I60" s="63"/>
      <c r="J60" s="30"/>
      <c r="K60" s="30"/>
      <c r="L60" s="30"/>
      <c r="M60" s="30"/>
      <c r="N60" s="30"/>
      <c r="O60" s="30"/>
      <c r="P60" s="30"/>
      <c r="Q60" s="30"/>
      <c r="R60" s="30"/>
      <c r="S60" s="30"/>
      <c r="T60" s="30"/>
      <c r="U60" s="30"/>
      <c r="V60" s="30"/>
      <c r="W60" s="30"/>
      <c r="X60" s="30"/>
      <c r="Y60" s="30"/>
      <c r="Z60" s="30"/>
    </row>
    <row r="61">
      <c r="A61" s="170" t="s">
        <v>322</v>
      </c>
      <c r="B61" s="172"/>
      <c r="C61" s="172"/>
      <c r="D61" s="172"/>
      <c r="E61" s="172"/>
      <c r="F61" s="212"/>
      <c r="G61" s="172"/>
      <c r="H61" s="172"/>
      <c r="I61" s="172"/>
      <c r="J61" s="30"/>
      <c r="K61" s="30"/>
      <c r="L61" s="30"/>
      <c r="M61" s="30"/>
      <c r="N61" s="30"/>
      <c r="O61" s="30"/>
      <c r="P61" s="30"/>
      <c r="Q61" s="30"/>
      <c r="R61" s="30"/>
      <c r="S61" s="30"/>
      <c r="T61" s="30"/>
      <c r="U61" s="30"/>
      <c r="V61" s="30"/>
      <c r="W61" s="30"/>
      <c r="X61" s="30"/>
      <c r="Y61" s="30"/>
      <c r="Z61" s="30"/>
    </row>
    <row r="62">
      <c r="A62" s="136" t="s">
        <v>323</v>
      </c>
      <c r="B62" s="136" t="s">
        <v>325</v>
      </c>
      <c r="C62" s="136" t="s">
        <v>522</v>
      </c>
      <c r="D62" s="63" t="s">
        <v>148</v>
      </c>
      <c r="E62" s="136" t="s">
        <v>523</v>
      </c>
      <c r="F62" s="193">
        <v>46270.0</v>
      </c>
      <c r="G62" s="192" t="s">
        <v>14</v>
      </c>
      <c r="H62" s="63"/>
      <c r="I62" s="63"/>
      <c r="J62" s="30"/>
      <c r="K62" s="30"/>
      <c r="L62" s="30"/>
      <c r="M62" s="30"/>
      <c r="N62" s="30"/>
      <c r="O62" s="30"/>
      <c r="P62" s="30"/>
      <c r="Q62" s="30"/>
      <c r="R62" s="30"/>
      <c r="S62" s="30"/>
      <c r="T62" s="30"/>
      <c r="U62" s="30"/>
      <c r="V62" s="30"/>
      <c r="W62" s="30"/>
      <c r="X62" s="30"/>
      <c r="Y62" s="30"/>
      <c r="Z62" s="30"/>
    </row>
    <row r="63">
      <c r="A63" s="136" t="s">
        <v>331</v>
      </c>
      <c r="B63" s="136" t="s">
        <v>332</v>
      </c>
      <c r="C63" s="136" t="s">
        <v>524</v>
      </c>
      <c r="D63" s="136" t="s">
        <v>334</v>
      </c>
      <c r="E63" s="136" t="s">
        <v>335</v>
      </c>
      <c r="F63" s="193">
        <v>46270.0</v>
      </c>
      <c r="G63" s="146" t="s">
        <v>14</v>
      </c>
      <c r="H63" s="63"/>
      <c r="I63" s="63"/>
      <c r="J63" s="30"/>
      <c r="K63" s="30"/>
      <c r="L63" s="30"/>
      <c r="M63" s="30"/>
      <c r="N63" s="30"/>
      <c r="O63" s="30"/>
      <c r="P63" s="30"/>
      <c r="Q63" s="30"/>
      <c r="R63" s="30"/>
      <c r="S63" s="30"/>
      <c r="T63" s="30"/>
      <c r="U63" s="30"/>
      <c r="V63" s="30"/>
      <c r="W63" s="30"/>
      <c r="X63" s="30"/>
      <c r="Y63" s="30"/>
      <c r="Z63" s="30"/>
    </row>
    <row r="64">
      <c r="A64" s="136" t="s">
        <v>338</v>
      </c>
      <c r="B64" s="136" t="s">
        <v>339</v>
      </c>
      <c r="C64" s="136" t="s">
        <v>525</v>
      </c>
      <c r="D64" s="136" t="s">
        <v>343</v>
      </c>
      <c r="E64" s="136" t="s">
        <v>344</v>
      </c>
      <c r="F64" s="193">
        <v>46270.0</v>
      </c>
      <c r="G64" s="146" t="s">
        <v>14</v>
      </c>
      <c r="H64" s="136"/>
      <c r="I64" s="63"/>
      <c r="J64" s="30"/>
      <c r="K64" s="30"/>
      <c r="L64" s="30"/>
      <c r="M64" s="30"/>
      <c r="N64" s="30"/>
      <c r="O64" s="30"/>
      <c r="P64" s="30"/>
      <c r="Q64" s="30"/>
      <c r="R64" s="30"/>
      <c r="S64" s="30"/>
      <c r="T64" s="30"/>
      <c r="U64" s="30"/>
      <c r="V64" s="30"/>
      <c r="W64" s="30"/>
      <c r="X64" s="30"/>
      <c r="Y64" s="30"/>
      <c r="Z64" s="30"/>
    </row>
    <row r="65">
      <c r="A65" s="136" t="s">
        <v>345</v>
      </c>
      <c r="B65" s="135" t="s">
        <v>346</v>
      </c>
      <c r="C65" s="136" t="s">
        <v>526</v>
      </c>
      <c r="D65" s="136" t="s">
        <v>348</v>
      </c>
      <c r="E65" s="136" t="s">
        <v>349</v>
      </c>
      <c r="F65" s="193">
        <v>46270.0</v>
      </c>
      <c r="G65" s="146" t="s">
        <v>14</v>
      </c>
      <c r="H65" s="63"/>
      <c r="I65" s="63"/>
      <c r="J65" s="30"/>
      <c r="K65" s="30"/>
      <c r="L65" s="30"/>
      <c r="M65" s="30"/>
      <c r="N65" s="30"/>
      <c r="O65" s="30"/>
      <c r="P65" s="30"/>
      <c r="Q65" s="30"/>
      <c r="R65" s="30"/>
      <c r="S65" s="30"/>
      <c r="T65" s="30"/>
      <c r="U65" s="30"/>
      <c r="V65" s="30"/>
      <c r="W65" s="30"/>
      <c r="X65" s="30"/>
      <c r="Y65" s="30"/>
      <c r="Z65" s="30"/>
    </row>
    <row r="66" ht="42.75" customHeight="1">
      <c r="A66" s="136" t="s">
        <v>351</v>
      </c>
      <c r="B66" s="136" t="s">
        <v>353</v>
      </c>
      <c r="C66" s="136" t="s">
        <v>527</v>
      </c>
      <c r="D66" s="136" t="s">
        <v>357</v>
      </c>
      <c r="E66" s="136" t="s">
        <v>358</v>
      </c>
      <c r="F66" s="193">
        <v>46270.0</v>
      </c>
      <c r="G66" s="146" t="s">
        <v>14</v>
      </c>
      <c r="H66" s="136"/>
      <c r="I66" s="63"/>
      <c r="J66" s="30"/>
      <c r="K66" s="30"/>
      <c r="L66" s="30"/>
      <c r="M66" s="30"/>
      <c r="N66" s="30"/>
      <c r="O66" s="30"/>
      <c r="P66" s="30"/>
      <c r="Q66" s="30"/>
      <c r="R66" s="30"/>
      <c r="S66" s="30"/>
      <c r="T66" s="30"/>
      <c r="U66" s="30"/>
      <c r="V66" s="30"/>
      <c r="W66" s="30"/>
      <c r="X66" s="30"/>
      <c r="Y66" s="30"/>
      <c r="Z66" s="30"/>
    </row>
    <row r="67" ht="58.5" customHeight="1">
      <c r="A67" s="136" t="s">
        <v>369</v>
      </c>
      <c r="B67" s="136" t="s">
        <v>370</v>
      </c>
      <c r="C67" s="136" t="s">
        <v>528</v>
      </c>
      <c r="D67" s="136" t="s">
        <v>372</v>
      </c>
      <c r="E67" s="136" t="s">
        <v>373</v>
      </c>
      <c r="F67" s="193">
        <v>46270.0</v>
      </c>
      <c r="G67" s="146" t="s">
        <v>14</v>
      </c>
      <c r="H67" s="136"/>
      <c r="I67" s="63"/>
      <c r="J67" s="30"/>
      <c r="K67" s="30"/>
      <c r="L67" s="30"/>
      <c r="M67" s="30"/>
      <c r="N67" s="30"/>
      <c r="O67" s="30"/>
      <c r="P67" s="30"/>
      <c r="Q67" s="30"/>
      <c r="R67" s="30"/>
      <c r="S67" s="30"/>
      <c r="T67" s="30"/>
      <c r="U67" s="30"/>
      <c r="V67" s="30"/>
      <c r="W67" s="30"/>
      <c r="X67" s="30"/>
      <c r="Y67" s="30"/>
      <c r="Z67" s="30"/>
    </row>
    <row r="68" ht="73.5" customHeight="1">
      <c r="A68" s="203" t="s">
        <v>375</v>
      </c>
      <c r="B68" s="203" t="s">
        <v>376</v>
      </c>
      <c r="C68" s="203" t="s">
        <v>529</v>
      </c>
      <c r="D68" s="203" t="s">
        <v>379</v>
      </c>
      <c r="E68" s="203" t="s">
        <v>381</v>
      </c>
      <c r="F68" s="240">
        <v>46270.0</v>
      </c>
      <c r="G68" s="155" t="s">
        <v>30</v>
      </c>
      <c r="H68" s="203" t="s">
        <v>530</v>
      </c>
      <c r="I68" s="222" t="s">
        <v>531</v>
      </c>
      <c r="J68" s="30"/>
      <c r="K68" s="30"/>
      <c r="L68" s="30"/>
      <c r="M68" s="30"/>
      <c r="N68" s="30"/>
      <c r="O68" s="30"/>
      <c r="P68" s="30"/>
      <c r="Q68" s="30"/>
      <c r="R68" s="30"/>
      <c r="S68" s="30"/>
      <c r="T68" s="30"/>
      <c r="U68" s="30"/>
      <c r="V68" s="30"/>
      <c r="W68" s="30"/>
      <c r="X68" s="30"/>
      <c r="Y68" s="30"/>
      <c r="Z68" s="30"/>
    </row>
    <row r="69" ht="43.5" customHeight="1">
      <c r="A69" s="136" t="s">
        <v>382</v>
      </c>
      <c r="B69" s="136" t="s">
        <v>383</v>
      </c>
      <c r="C69" s="136" t="s">
        <v>532</v>
      </c>
      <c r="D69" s="136" t="s">
        <v>385</v>
      </c>
      <c r="E69" s="136" t="s">
        <v>387</v>
      </c>
      <c r="F69" s="193">
        <v>46270.0</v>
      </c>
      <c r="G69" s="146" t="s">
        <v>14</v>
      </c>
      <c r="H69" s="136"/>
      <c r="I69" s="63"/>
      <c r="J69" s="30"/>
      <c r="K69" s="30"/>
      <c r="L69" s="30"/>
      <c r="M69" s="30"/>
      <c r="N69" s="30"/>
      <c r="O69" s="30"/>
      <c r="P69" s="30"/>
      <c r="Q69" s="30"/>
      <c r="R69" s="30"/>
      <c r="S69" s="30"/>
      <c r="T69" s="30"/>
      <c r="U69" s="30"/>
      <c r="V69" s="30"/>
      <c r="W69" s="30"/>
      <c r="X69" s="30"/>
      <c r="Y69" s="30"/>
      <c r="Z69" s="30"/>
    </row>
    <row r="70" ht="65.25" customHeight="1">
      <c r="A70" s="136" t="s">
        <v>389</v>
      </c>
      <c r="B70" s="136" t="s">
        <v>390</v>
      </c>
      <c r="C70" s="136" t="s">
        <v>533</v>
      </c>
      <c r="D70" s="136" t="s">
        <v>393</v>
      </c>
      <c r="E70" s="136" t="s">
        <v>394</v>
      </c>
      <c r="F70" s="193">
        <v>46270.0</v>
      </c>
      <c r="G70" s="146" t="s">
        <v>14</v>
      </c>
      <c r="H70" s="136"/>
      <c r="I70" s="63"/>
      <c r="J70" s="30"/>
      <c r="K70" s="30"/>
      <c r="L70" s="30"/>
      <c r="M70" s="30"/>
      <c r="N70" s="30"/>
      <c r="O70" s="30"/>
      <c r="P70" s="30"/>
      <c r="Q70" s="30"/>
      <c r="R70" s="30"/>
      <c r="S70" s="30"/>
      <c r="T70" s="30"/>
      <c r="U70" s="30"/>
      <c r="V70" s="30"/>
      <c r="W70" s="30"/>
      <c r="X70" s="30"/>
      <c r="Y70" s="30"/>
      <c r="Z70" s="30"/>
    </row>
    <row r="71" ht="75.0" customHeight="1">
      <c r="A71" s="203" t="s">
        <v>395</v>
      </c>
      <c r="B71" s="203" t="s">
        <v>396</v>
      </c>
      <c r="C71" s="203" t="s">
        <v>534</v>
      </c>
      <c r="D71" s="203" t="s">
        <v>379</v>
      </c>
      <c r="E71" s="203" t="s">
        <v>398</v>
      </c>
      <c r="F71" s="240">
        <v>46270.0</v>
      </c>
      <c r="G71" s="155" t="s">
        <v>30</v>
      </c>
      <c r="H71" s="203" t="s">
        <v>535</v>
      </c>
      <c r="I71" s="157" t="s">
        <v>536</v>
      </c>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sheetData>
  <mergeCells count="4">
    <mergeCell ref="B2:D2"/>
    <mergeCell ref="B3:D3"/>
    <mergeCell ref="A7:E7"/>
    <mergeCell ref="A9:I9"/>
  </mergeCells>
  <conditionalFormatting sqref="F11:F71">
    <cfRule type="notContainsBlanks" dxfId="0" priority="1">
      <formula>LEN(TRIM(F11))&gt;0</formula>
    </cfRule>
  </conditionalFormatting>
  <hyperlinks>
    <hyperlink r:id="rId1" ref="D14"/>
    <hyperlink r:id="rId2" ref="I68"/>
    <hyperlink r:id="rId3" ref="I71"/>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1" t="s">
        <v>143</v>
      </c>
      <c r="B1" s="1"/>
      <c r="C1" s="1"/>
      <c r="D1" s="1"/>
      <c r="E1" s="1"/>
      <c r="F1" s="176"/>
    </row>
    <row r="2">
      <c r="A2" s="1"/>
      <c r="B2" s="1"/>
      <c r="C2" s="1"/>
      <c r="D2" s="1"/>
      <c r="E2" s="1"/>
      <c r="F2" s="176"/>
    </row>
    <row r="3">
      <c r="A3" s="179" t="s">
        <v>150</v>
      </c>
      <c r="B3" s="180" t="s">
        <v>154</v>
      </c>
      <c r="C3" s="182"/>
      <c r="D3" s="184"/>
      <c r="E3" s="185"/>
      <c r="F3" s="186"/>
    </row>
    <row r="4">
      <c r="A4" s="179" t="s">
        <v>167</v>
      </c>
      <c r="B4" s="188">
        <v>46271.0</v>
      </c>
      <c r="C4" s="190"/>
      <c r="D4" s="190"/>
      <c r="E4" s="1"/>
      <c r="F4" s="198"/>
    </row>
    <row r="5">
      <c r="A5" s="200"/>
      <c r="B5" s="1"/>
      <c r="C5" s="1"/>
      <c r="D5" s="1"/>
      <c r="E5" s="1"/>
      <c r="F5" s="201"/>
    </row>
    <row r="6">
      <c r="A6" s="202" t="s">
        <v>185</v>
      </c>
      <c r="B6" s="204" t="s">
        <v>188</v>
      </c>
      <c r="C6" s="205" t="s">
        <v>14</v>
      </c>
      <c r="D6" s="206" t="s">
        <v>30</v>
      </c>
      <c r="E6" s="206" t="s">
        <v>25</v>
      </c>
      <c r="F6" s="207" t="s">
        <v>193</v>
      </c>
    </row>
    <row r="7">
      <c r="A7" s="208">
        <v>1.0</v>
      </c>
      <c r="B7" s="209" t="s">
        <v>154</v>
      </c>
      <c r="C7" s="211">
        <f>Admin!B5</f>
        <v>68</v>
      </c>
      <c r="D7" s="214">
        <f>Admin!B6</f>
        <v>5</v>
      </c>
      <c r="E7" s="214">
        <f>Admin!D5</f>
        <v>0</v>
      </c>
      <c r="F7" s="211">
        <f>Admin!D6</f>
        <v>73</v>
      </c>
    </row>
    <row r="8">
      <c r="A8" s="216"/>
      <c r="B8" s="217"/>
      <c r="C8" s="217"/>
      <c r="D8" s="217"/>
      <c r="E8" s="217"/>
      <c r="F8" s="219"/>
    </row>
    <row r="9">
      <c r="A9" s="220"/>
      <c r="B9" s="221" t="s">
        <v>231</v>
      </c>
      <c r="C9" s="224">
        <f t="shared" ref="C9:E9" si="1">C7</f>
        <v>68</v>
      </c>
      <c r="D9" s="225">
        <f t="shared" si="1"/>
        <v>5</v>
      </c>
      <c r="E9" s="225">
        <f t="shared" si="1"/>
        <v>0</v>
      </c>
      <c r="F9" s="227">
        <f>C9+D9+E9</f>
        <v>73</v>
      </c>
    </row>
    <row r="10">
      <c r="A10" s="1"/>
      <c r="B10" s="1"/>
      <c r="C10" s="1"/>
      <c r="D10" s="1"/>
      <c r="E10" s="1"/>
      <c r="F10" s="1"/>
    </row>
    <row r="11">
      <c r="A11" s="1"/>
      <c r="B11" s="1"/>
      <c r="C11" s="1"/>
      <c r="D11" s="1"/>
      <c r="E11" s="1"/>
      <c r="F11" s="1"/>
    </row>
    <row r="12">
      <c r="A12" s="179" t="s">
        <v>150</v>
      </c>
      <c r="B12" s="180" t="s">
        <v>260</v>
      </c>
      <c r="C12" s="185"/>
      <c r="D12" s="185"/>
      <c r="E12" s="185"/>
      <c r="F12" s="186"/>
    </row>
    <row r="13">
      <c r="A13" s="179" t="s">
        <v>167</v>
      </c>
      <c r="B13" s="188">
        <v>46271.0</v>
      </c>
      <c r="C13" s="1"/>
      <c r="D13" s="1"/>
      <c r="E13" s="1"/>
      <c r="F13" s="198"/>
    </row>
    <row r="14">
      <c r="A14" s="200"/>
      <c r="B14" s="1"/>
      <c r="C14" s="1"/>
      <c r="D14" s="1"/>
      <c r="E14" s="1"/>
      <c r="F14" s="198"/>
    </row>
    <row r="15">
      <c r="A15" s="202" t="s">
        <v>185</v>
      </c>
      <c r="B15" s="204" t="s">
        <v>188</v>
      </c>
      <c r="C15" s="205" t="s">
        <v>14</v>
      </c>
      <c r="D15" s="206" t="s">
        <v>30</v>
      </c>
      <c r="E15" s="206" t="s">
        <v>25</v>
      </c>
      <c r="F15" s="207" t="s">
        <v>193</v>
      </c>
    </row>
    <row r="16">
      <c r="A16" s="208">
        <v>1.0</v>
      </c>
      <c r="B16" s="209" t="s">
        <v>260</v>
      </c>
      <c r="C16" s="211">
        <f>Siswa!B5</f>
        <v>40</v>
      </c>
      <c r="D16" s="214">
        <f>Siswa!B6</f>
        <v>2</v>
      </c>
      <c r="E16" s="214">
        <f>Siswa!D5</f>
        <v>0</v>
      </c>
      <c r="F16" s="211">
        <f>Siswa!D6</f>
        <v>42</v>
      </c>
    </row>
    <row r="17">
      <c r="A17" s="236"/>
      <c r="B17" s="237"/>
      <c r="C17" s="237"/>
      <c r="D17" s="237"/>
      <c r="E17" s="237"/>
      <c r="F17" s="238"/>
    </row>
    <row r="18">
      <c r="A18" s="239"/>
      <c r="B18" s="241" t="s">
        <v>231</v>
      </c>
      <c r="C18" s="243">
        <f t="shared" ref="C18:E18" si="2">C16</f>
        <v>40</v>
      </c>
      <c r="D18" s="244">
        <f t="shared" si="2"/>
        <v>2</v>
      </c>
      <c r="E18" s="244">
        <f t="shared" si="2"/>
        <v>0</v>
      </c>
      <c r="F18" s="245">
        <f>C18+D18+E18</f>
        <v>42</v>
      </c>
    </row>
    <row r="19">
      <c r="A19" s="1"/>
      <c r="B19" s="1"/>
      <c r="C19" s="246"/>
      <c r="D19" s="1"/>
      <c r="E19" s="1"/>
      <c r="F19" s="246"/>
    </row>
    <row r="20">
      <c r="A20" s="1"/>
      <c r="B20" s="1"/>
      <c r="C20" s="246"/>
      <c r="D20" s="1"/>
      <c r="E20" s="1"/>
      <c r="F20" s="246"/>
    </row>
    <row r="21">
      <c r="A21" s="179" t="s">
        <v>150</v>
      </c>
      <c r="B21" s="180" t="s">
        <v>364</v>
      </c>
      <c r="C21" s="182"/>
      <c r="D21" s="184"/>
      <c r="E21" s="185"/>
      <c r="F21" s="186"/>
    </row>
    <row r="22">
      <c r="A22" s="179" t="s">
        <v>167</v>
      </c>
      <c r="B22" s="247">
        <v>46001.0</v>
      </c>
      <c r="C22" s="190"/>
      <c r="D22" s="190"/>
      <c r="E22" s="1"/>
      <c r="F22" s="198"/>
    </row>
    <row r="23">
      <c r="A23" s="200"/>
      <c r="B23" s="1"/>
      <c r="C23" s="1"/>
      <c r="D23" s="1"/>
      <c r="E23" s="1"/>
      <c r="F23" s="201"/>
    </row>
    <row r="24">
      <c r="A24" s="202" t="s">
        <v>185</v>
      </c>
      <c r="B24" s="204" t="s">
        <v>188</v>
      </c>
      <c r="C24" s="205" t="s">
        <v>14</v>
      </c>
      <c r="D24" s="206" t="s">
        <v>30</v>
      </c>
      <c r="E24" s="206" t="s">
        <v>25</v>
      </c>
      <c r="F24" s="207" t="s">
        <v>193</v>
      </c>
    </row>
    <row r="25">
      <c r="A25" s="208">
        <v>1.0</v>
      </c>
      <c r="B25" s="209" t="s">
        <v>364</v>
      </c>
      <c r="C25" s="211">
        <f>Tutor!B5</f>
        <v>51</v>
      </c>
      <c r="D25" s="214">
        <f>Tutor!B6</f>
        <v>5</v>
      </c>
      <c r="E25" s="214">
        <f>Tutor!D5</f>
        <v>0</v>
      </c>
      <c r="F25" s="211">
        <f>Tutor!D6</f>
        <v>56</v>
      </c>
    </row>
    <row r="26">
      <c r="A26" s="216"/>
      <c r="B26" s="217"/>
      <c r="C26" s="217"/>
      <c r="D26" s="217"/>
      <c r="E26" s="217"/>
      <c r="F26" s="219"/>
    </row>
    <row r="27">
      <c r="A27" s="220"/>
      <c r="B27" s="221" t="s">
        <v>231</v>
      </c>
      <c r="C27" s="224">
        <f t="shared" ref="C27:E27" si="3">C25</f>
        <v>51</v>
      </c>
      <c r="D27" s="225">
        <f t="shared" si="3"/>
        <v>5</v>
      </c>
      <c r="E27" s="225">
        <f t="shared" si="3"/>
        <v>0</v>
      </c>
      <c r="F27" s="227">
        <f>C27+D27+E27</f>
        <v>56</v>
      </c>
    </row>
    <row r="28">
      <c r="A28" s="1"/>
      <c r="B28" s="1"/>
      <c r="C28" s="246"/>
      <c r="D28" s="1"/>
      <c r="E28" s="1"/>
      <c r="F28" s="246"/>
    </row>
    <row r="29">
      <c r="A29" s="1"/>
      <c r="B29" s="1"/>
      <c r="C29" s="246"/>
      <c r="D29" s="1"/>
      <c r="E29" s="1"/>
      <c r="F29" s="246"/>
    </row>
    <row r="30">
      <c r="A30" s="254"/>
      <c r="B30" s="1"/>
      <c r="C30" s="1"/>
      <c r="D30" s="1"/>
      <c r="E30" s="1"/>
      <c r="F30" s="255"/>
    </row>
    <row r="31">
      <c r="A31" s="256" t="s">
        <v>185</v>
      </c>
      <c r="B31" s="257" t="s">
        <v>188</v>
      </c>
      <c r="C31" s="205" t="s">
        <v>14</v>
      </c>
      <c r="D31" s="206" t="s">
        <v>30</v>
      </c>
      <c r="E31" s="206" t="s">
        <v>25</v>
      </c>
      <c r="F31" s="258" t="s">
        <v>193</v>
      </c>
    </row>
    <row r="32">
      <c r="A32" s="259">
        <v>1.0</v>
      </c>
      <c r="B32" s="262" t="str">
        <f>B7</f>
        <v>LD- Admin</v>
      </c>
      <c r="C32" s="263">
        <f t="shared" ref="C32:F32" si="4">C9</f>
        <v>68</v>
      </c>
      <c r="D32" s="214">
        <f t="shared" si="4"/>
        <v>5</v>
      </c>
      <c r="E32" s="214">
        <f t="shared" si="4"/>
        <v>0</v>
      </c>
      <c r="F32" s="264">
        <f t="shared" si="4"/>
        <v>73</v>
      </c>
    </row>
    <row r="33">
      <c r="A33" s="259">
        <v>2.0</v>
      </c>
      <c r="B33" s="262" t="str">
        <f>B16</f>
        <v>LD- Siswa</v>
      </c>
      <c r="C33" s="263">
        <f t="shared" ref="C33:F33" si="5">C18</f>
        <v>40</v>
      </c>
      <c r="D33" s="214">
        <f t="shared" si="5"/>
        <v>2</v>
      </c>
      <c r="E33" s="214">
        <f t="shared" si="5"/>
        <v>0</v>
      </c>
      <c r="F33" s="264">
        <f t="shared" si="5"/>
        <v>42</v>
      </c>
    </row>
    <row r="34">
      <c r="A34" s="259">
        <v>3.0</v>
      </c>
      <c r="B34" s="262" t="str">
        <f>B25</f>
        <v>LD- Tutor</v>
      </c>
      <c r="C34" s="266">
        <f t="shared" ref="C34:F34" si="6">C27</f>
        <v>51</v>
      </c>
      <c r="D34" s="267">
        <f t="shared" si="6"/>
        <v>5</v>
      </c>
      <c r="E34" s="267">
        <f t="shared" si="6"/>
        <v>0</v>
      </c>
      <c r="F34" s="268">
        <f t="shared" si="6"/>
        <v>56</v>
      </c>
    </row>
    <row r="35">
      <c r="A35" s="269"/>
      <c r="B35" s="241" t="s">
        <v>231</v>
      </c>
      <c r="C35" s="224">
        <f t="shared" ref="C35:F35" si="7">SUM(C32:C34)</f>
        <v>159</v>
      </c>
      <c r="D35" s="224">
        <f t="shared" si="7"/>
        <v>12</v>
      </c>
      <c r="E35" s="224">
        <f t="shared" si="7"/>
        <v>0</v>
      </c>
      <c r="F35" s="270">
        <f t="shared" si="7"/>
        <v>171</v>
      </c>
    </row>
    <row r="36">
      <c r="A36" s="254"/>
      <c r="B36" s="1"/>
      <c r="C36" s="1"/>
      <c r="D36" s="1"/>
      <c r="E36" s="1"/>
      <c r="F36" s="255"/>
    </row>
    <row r="37">
      <c r="A37" s="271" t="s">
        <v>515</v>
      </c>
      <c r="B37" s="185"/>
      <c r="C37" s="273">
        <f>(C35+D35)*100/F35</f>
        <v>100</v>
      </c>
      <c r="D37" s="274" t="s">
        <v>517</v>
      </c>
      <c r="E37" s="1"/>
      <c r="F37" s="255"/>
    </row>
    <row r="38">
      <c r="A38" s="275" t="s">
        <v>518</v>
      </c>
      <c r="B38" s="276"/>
      <c r="C38" s="277">
        <f>C35*100/F35</f>
        <v>92.98245614</v>
      </c>
      <c r="D38" s="278" t="s">
        <v>517</v>
      </c>
      <c r="E38" s="276"/>
      <c r="F38" s="279"/>
    </row>
    <row r="39">
      <c r="A39" s="1"/>
      <c r="B39" s="1"/>
      <c r="C39" s="1"/>
      <c r="D39" s="1"/>
      <c r="E39" s="1"/>
      <c r="F39" s="1"/>
    </row>
  </sheetData>
  <drawing r:id="rId1"/>
</worksheet>
</file>